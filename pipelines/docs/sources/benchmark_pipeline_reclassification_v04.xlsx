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96cf8cac0484c50" /></Relationships>
</file>

<file path=xl/workbook.xml><?xml version="1.0" encoding="utf-8"?>
<x:workbook xmlns:x="http://schemas.openxmlformats.org/spreadsheetml/2006/main">
  <x:sheets>
    <x:sheet xmlns:r="http://schemas.openxmlformats.org/officeDocument/2006/relationships" name="方案总览" sheetId="1" r:id="R58beba9c286d4425"/>
    <x:sheet xmlns:r="http://schemas.openxmlformats.org/officeDocument/2006/relationships" name="9类Pipeline" sheetId="2" r:id="Rdefe20250db14d23"/>
    <x:sheet xmlns:r="http://schemas.openxmlformats.org/officeDocument/2006/relationships" name="127题型重分类" sheetId="3" r:id="Raf2517501f3e4486"/>
    <x:sheet xmlns:r="http://schemas.openxmlformats.org/officeDocument/2006/relationships" name="20到9迁移" sheetId="4" r:id="R37f9d33a16d04250"/>
    <x:sheet xmlns:r="http://schemas.openxmlformats.org/officeDocument/2006/relationships" name="关键边界与反例" sheetId="5" r:id="Rd92cc85da5f54128"/>
    <x:sheet xmlns:r="http://schemas.openxmlformats.org/officeDocument/2006/relationships" name="159原映射审计" sheetId="6" r:id="Rb75477f3acdd48ca"/>
    <x:sheet xmlns:r="http://schemas.openxmlformats.org/officeDocument/2006/relationships" name="177条件继承" sheetId="7" r:id="R9e1eb18c3f8648dc"/>
    <x:sheet xmlns:r="http://schemas.openxmlformats.org/officeDocument/2006/relationships" name="来源索引" sheetId="8" r:id="Rd96ba3e9df8e4c96"/>
    <x:sheet xmlns:r="http://schemas.openxmlformats.org/officeDocument/2006/relationships" name="执行与评估协议" sheetId="9" r:id="R28919e8acb93418c"/>
    <x:sheet xmlns:r="http://schemas.openxmlformats.org/officeDocument/2006/relationships" name="样本执行契约" sheetId="10" r:id="Re55a2e74888c436c"/>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0.0%"/>
  </x:numFmts>
  <x:fonts count="5">
    <x:font>
      <x:sz val="11"/>
      <x:name val="Carlito"/>
    </x:font>
    <x:font>
      <x:sz val="11"/>
      <x:color rgb="FF233548"/>
      <x:name val="Carlito"/>
    </x:font>
    <x:font>
      <x:b/>
      <x:sz val="11"/>
      <x:color rgb="FFFFFFFF"/>
      <x:name val="Carlito"/>
    </x:font>
    <x:font>
      <x:b/>
      <x:sz val="11"/>
      <x:color rgb="FF233548"/>
      <x:name val="Carlito"/>
    </x:font>
    <x:font>
      <x:b/>
      <x:sz val="11"/>
      <x:color rgb="FF1D3C60"/>
      <x:name val="Carlito"/>
    </x:font>
  </x:fonts>
  <x:fills count="8">
    <x:fill>
      <x:patternFill patternType="none"/>
    </x:fill>
    <x:fill>
      <x:patternFill patternType="gray125"/>
    </x:fill>
    <x:fill>
      <x:patternFill patternType="solid">
        <x:fgColor rgb="FF1D3C60"/>
      </x:patternFill>
    </x:fill>
    <x:fill>
      <x:patternFill patternType="solid">
        <x:fgColor rgb="FFEEF5FC"/>
      </x:patternFill>
    </x:fill>
    <x:fill>
      <x:patternFill patternType="solid">
        <x:fgColor rgb="FFEAF2F8"/>
      </x:patternFill>
    </x:fill>
    <x:fill>
      <x:patternFill patternType="solid">
        <x:fgColor rgb="FFD3E4F2"/>
      </x:patternFill>
    </x:fill>
    <x:fill>
      <x:patternFill patternType="solid">
        <x:fgColor rgb="FFFFFFFF"/>
      </x:patternFill>
    </x:fill>
    <x:fill>
      <x:patternFill patternType="solid">
        <x:fgColor rgb="FFFFF2CC"/>
      </x:patternFill>
    </x:fill>
  </x:fills>
  <x:borders count="2">
    <x:border/>
    <x:border/>
  </x:borders>
  <x:cellStyleXfs count="1">
    <x:xf numFmtId="0" fontId="0" fillId="0" borderId="0"/>
  </x:cellStyleXfs>
  <x:cellXfs count="58">
    <x:xf numFmtId="0" fontId="0" fillId="0" borderId="0" xfId="0"/>
    <x:xf numFmtId="0" fontId="0" fillId="0" borderId="1" xfId="0" applyNumberFormat="1" applyFont="1" applyFill="1" applyBorder="1"/>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0" borderId="1" xfId="0" applyNumberFormat="1" applyFont="1" applyFill="1" applyBorder="1"/>
    <x:xf numFmtId="0" fontId="1" fillId="0" borderId="1" xfId="0" applyNumberFormat="1" applyFont="1" applyFill="1" applyBorder="1" applyAlignment="1">
      <x:alignment wrapText="1"/>
    </x:xf>
    <x:xf numFmtId="0" fontId="1" fillId="0" borderId="1"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vertical="center" wrapText="1"/>
    </x:xf>
    <x:xf numFmtId="0" fontId="1" fillId="2" borderId="1" xfId="0" applyNumberFormat="1" applyFont="1" applyFill="1" applyBorder="1" applyAlignment="1">
      <x:alignment vertical="top" wrapText="1"/>
    </x:xf>
    <x:xf numFmtId="0" fontId="2" fillId="2" borderId="1" xfId="0" applyNumberFormat="1" applyFont="1" applyFill="1" applyBorder="1" applyAlignment="1">
      <x:alignment vertical="top" wrapText="1"/>
    </x:xf>
    <x:xf numFmtId="0" fontId="2" fillId="2" borderId="1" xfId="0" applyNumberFormat="1" applyFont="1" applyFill="1" applyBorder="1" applyAlignment="1">
      <x:alignment vertical="center" wrapText="1"/>
    </x:xf>
    <x:xf numFmtId="0" fontId="1" fillId="3" borderId="0" xfId="0" applyNumberFormat="1" applyFont="1" applyFill="1" applyBorder="1" applyAlignment="1">
      <x:alignment vertical="top" wrapText="1"/>
    </x:xf>
    <x:xf numFmtId="0" fontId="1" fillId="3" borderId="1" xfId="0" applyNumberFormat="1" applyFont="1" applyFill="1" applyBorder="1" applyAlignment="1">
      <x:alignment vertical="top" wrapText="1"/>
    </x:xf>
    <x:xf numFmtId="0" fontId="1" fillId="0" borderId="0" xfId="0" applyNumberFormat="1" applyFont="1" applyFill="1" applyBorder="1" applyAlignment="1">
      <x:alignment vertical="center"/>
    </x:xf>
    <x:xf numFmtId="0" fontId="1" fillId="0" borderId="1" xfId="0" applyNumberFormat="1" applyFont="1" applyFill="1" applyBorder="1" applyAlignment="1">
      <x:alignment vertical="center"/>
    </x:xf>
    <x:xf numFmtId="0" fontId="1" fillId="2" borderId="0" xfId="0" applyNumberFormat="1" applyFont="1" applyFill="1" applyBorder="1" applyAlignment="1">
      <x:alignment vertical="center"/>
    </x:xf>
    <x:xf numFmtId="0" fontId="2" fillId="2" borderId="0" xfId="0" applyNumberFormat="1" applyFont="1" applyFill="1" applyBorder="1" applyAlignment="1">
      <x:alignment vertical="center"/>
    </x:xf>
    <x:xf numFmtId="0" fontId="1" fillId="2" borderId="1" xfId="0" applyNumberFormat="1" applyFont="1" applyFill="1" applyBorder="1" applyAlignment="1">
      <x:alignment vertical="center"/>
    </x:xf>
    <x:xf numFmtId="0" fontId="2" fillId="2" borderId="1" xfId="0" applyNumberFormat="1" applyFont="1" applyFill="1" applyBorder="1" applyAlignment="1">
      <x:alignment vertical="center"/>
    </x:xf>
    <x:xf numFmtId="0" fontId="1" fillId="4" borderId="0" xfId="0" applyNumberFormat="1" applyFont="1" applyFill="1" applyBorder="1" applyAlignment="1">
      <x:alignment vertical="center"/>
    </x:xf>
    <x:xf numFmtId="0" fontId="1" fillId="4" borderId="0" xfId="0" applyNumberFormat="1" applyFont="1" applyFill="1" applyBorder="1" applyAlignment="1">
      <x:alignment vertical="center" wrapText="1"/>
    </x:xf>
    <x:xf numFmtId="0" fontId="1" fillId="4" borderId="1" xfId="0" applyNumberFormat="1" applyFont="1" applyFill="1" applyBorder="1" applyAlignment="1">
      <x:alignment vertical="center"/>
    </x:xf>
    <x:xf numFmtId="0" fontId="1" fillId="4" borderId="1" xfId="0" applyNumberFormat="1" applyFont="1" applyFill="1" applyBorder="1" applyAlignment="1">
      <x:alignment vertical="center" wrapText="1"/>
    </x:xf>
    <x:xf numFmtId="0" fontId="3" fillId="4" borderId="0" xfId="0" applyNumberFormat="1" applyFont="1" applyFill="1" applyBorder="1" applyAlignment="1">
      <x:alignment vertical="center"/>
    </x:xf>
    <x:xf numFmtId="0" fontId="3" fillId="4" borderId="0" xfId="0" applyNumberFormat="1" applyFont="1" applyFill="1" applyBorder="1" applyAlignment="1">
      <x:alignment horizontal="center" vertical="center"/>
    </x:xf>
    <x:xf numFmtId="0" fontId="3" fillId="4" borderId="1" xfId="0" applyNumberFormat="1" applyFont="1" applyFill="1" applyBorder="1" applyAlignment="1">
      <x:alignment vertical="center"/>
    </x:xf>
    <x:xf numFmtId="0" fontId="3" fillId="4" borderId="1" xfId="0" applyNumberFormat="1" applyFont="1" applyFill="1" applyBorder="1" applyAlignment="1">
      <x:alignment horizontal="center" vertical="center"/>
    </x:xf>
    <x:xf numFmtId="0" fontId="1" fillId="5" borderId="0" xfId="0" applyNumberFormat="1" applyFont="1" applyFill="1" applyBorder="1" applyAlignment="1">
      <x:alignment vertical="center"/>
    </x:xf>
    <x:xf numFmtId="0" fontId="4" fillId="5" borderId="0" xfId="0" applyNumberFormat="1" applyFont="1" applyFill="1" applyBorder="1" applyAlignment="1">
      <x:alignment vertical="center"/>
    </x:xf>
    <x:xf numFmtId="0" fontId="4" fillId="5" borderId="0" xfId="0" applyNumberFormat="1" applyFont="1" applyFill="1" applyBorder="1" applyAlignment="1">
      <x:alignment horizontal="center" vertical="center"/>
    </x:xf>
    <x:xf numFmtId="0" fontId="1" fillId="5" borderId="1" xfId="0" applyNumberFormat="1" applyFont="1" applyFill="1" applyBorder="1" applyAlignment="1">
      <x:alignment vertical="center"/>
    </x:xf>
    <x:xf numFmtId="0" fontId="4" fillId="5" borderId="1" xfId="0" applyNumberFormat="1" applyFont="1" applyFill="1" applyBorder="1" applyAlignment="1">
      <x:alignment vertical="center"/>
    </x:xf>
    <x:xf numFmtId="0" fontId="4" fillId="5" borderId="1" xfId="0" applyNumberFormat="1" applyFont="1" applyFill="1" applyBorder="1" applyAlignment="1">
      <x:alignment horizontal="center" vertical="center"/>
    </x:xf>
    <x:xf numFmtId="200" fontId="1" fillId="0" borderId="0" xfId="0" applyNumberFormat="1" applyFont="1" applyFill="1" applyBorder="1" applyAlignment="1">
      <x:alignment vertical="center"/>
    </x:xf>
    <x:xf numFmtId="200" fontId="1" fillId="0" borderId="1" xfId="0" applyNumberFormat="1" applyFont="1" applyFill="1" applyBorder="1" applyAlignment="1">
      <x:alignment vertical="center"/>
    </x:xf>
    <x:xf numFmtId="200" fontId="1" fillId="4" borderId="0" xfId="0" applyNumberFormat="1" applyFont="1" applyFill="1" applyBorder="1" applyAlignment="1">
      <x:alignment vertical="center"/>
    </x:xf>
    <x:xf numFmtId="200" fontId="1" fillId="4" borderId="0" xfId="0" applyNumberFormat="1" applyFont="1" applyFill="1" applyBorder="1" applyAlignment="1">
      <x:alignment vertical="center" wrapText="1"/>
    </x:xf>
    <x:xf numFmtId="200" fontId="1" fillId="4" borderId="1" xfId="0" applyNumberFormat="1" applyFont="1" applyFill="1" applyBorder="1" applyAlignment="1">
      <x:alignment vertical="center"/>
    </x:xf>
    <x:xf numFmtId="200" fontId="1" fillId="4" borderId="1" xfId="0" applyNumberFormat="1" applyFont="1" applyFill="1" applyBorder="1" applyAlignment="1">
      <x:alignment vertical="center" wrapText="1"/>
    </x:xf>
    <x:xf numFmtId="201" fontId="1" fillId="0" borderId="0" xfId="0" applyNumberFormat="1" applyFont="1" applyFill="1" applyBorder="1" applyAlignment="1">
      <x:alignment vertical="center"/>
    </x:xf>
    <x:xf numFmtId="201" fontId="1" fillId="0" borderId="1" xfId="0" applyNumberFormat="1" applyFont="1" applyFill="1" applyBorder="1" applyAlignment="1">
      <x:alignment vertical="center"/>
    </x:xf>
    <x:xf numFmtId="201" fontId="1" fillId="4" borderId="0" xfId="0" applyNumberFormat="1" applyFont="1" applyFill="1" applyBorder="1" applyAlignment="1">
      <x:alignment vertical="center"/>
    </x:xf>
    <x:xf numFmtId="201" fontId="1" fillId="4" borderId="1" xfId="0" applyNumberFormat="1" applyFont="1" applyFill="1" applyBorder="1" applyAlignment="1">
      <x:alignment vertical="center"/>
    </x:xf>
    <x:xf numFmtId="0" fontId="1" fillId="6" borderId="0" xfId="0" applyNumberFormat="1" applyFont="1" applyFill="1" applyBorder="1" applyAlignment="1">
      <x:alignment vertical="center"/>
    </x:xf>
    <x:xf numFmtId="201" fontId="1" fillId="6" borderId="0" xfId="0" applyNumberFormat="1" applyFont="1" applyFill="1" applyBorder="1" applyAlignment="1">
      <x:alignment vertical="center"/>
    </x:xf>
    <x:xf numFmtId="0" fontId="1" fillId="6" borderId="1" xfId="0" applyNumberFormat="1" applyFont="1" applyFill="1" applyBorder="1" applyAlignment="1">
      <x:alignment vertical="center"/>
    </x:xf>
    <x:xf numFmtId="201" fontId="1" fillId="6" borderId="1" xfId="0" applyNumberFormat="1" applyFont="1" applyFill="1" applyBorder="1" applyAlignment="1">
      <x:alignment vertical="center"/>
    </x:xf>
    <x:xf numFmtId="0" fontId="3" fillId="5" borderId="0" xfId="0" applyNumberFormat="1" applyFont="1" applyFill="1" applyBorder="1" applyAlignment="1">
      <x:alignment vertical="center"/>
    </x:xf>
    <x:xf numFmtId="0" fontId="3" fillId="5" borderId="0" xfId="0" applyNumberFormat="1" applyFont="1" applyFill="1" applyBorder="1" applyAlignment="1">
      <x:alignment vertical="center" wrapText="1"/>
    </x:xf>
    <x:xf numFmtId="0" fontId="3" fillId="5" borderId="1" xfId="0" applyNumberFormat="1" applyFont="1" applyFill="1" applyBorder="1" applyAlignment="1">
      <x:alignment vertical="center"/>
    </x:xf>
    <x:xf numFmtId="0" fontId="3" fillId="5" borderId="1" xfId="0" applyNumberFormat="1" applyFont="1" applyFill="1" applyBorder="1" applyAlignment="1">
      <x:alignment vertical="center" wrapText="1"/>
    </x:xf>
    <x:xf numFmtId="0" fontId="1" fillId="7" borderId="0" xfId="0" applyNumberFormat="1" applyFont="1" applyFill="1" applyBorder="1" applyAlignment="1">
      <x:alignment vertical="center"/>
    </x:xf>
    <x:xf numFmtId="0" fontId="1" fillId="7" borderId="0" xfId="0" applyNumberFormat="1" applyFont="1" applyFill="1" applyBorder="1" applyAlignment="1">
      <x:alignment vertical="center" wrapText="1"/>
    </x:xf>
    <x:xf numFmtId="0" fontId="1" fillId="7" borderId="1" xfId="0" applyNumberFormat="1" applyFont="1" applyFill="1" applyBorder="1" applyAlignment="1">
      <x:alignment vertical="center"/>
    </x:xf>
    <x:xf numFmtId="0" fontId="1" fillId="7" borderId="1"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3e1e7c0010b4855" /><Relationship Type="http://schemas.openxmlformats.org/officeDocument/2006/relationships/theme" Target="/xl/theme/theme1.xml" Id="R3d37f614c2db41e1" /><Relationship Type="http://schemas.openxmlformats.org/officeDocument/2006/relationships/sharedStrings" Target="/xl/sharedStrings.xml" Id="R2e22f64c077f45d5" /><Relationship Type="http://schemas.openxmlformats.org/officeDocument/2006/relationships/worksheet" Target="/xl/worksheets/sheet1.xml" Id="R58beba9c286d4425" /><Relationship Type="http://schemas.openxmlformats.org/officeDocument/2006/relationships/worksheet" Target="/xl/worksheets/sheet2.xml" Id="Rdefe20250db14d23" /><Relationship Type="http://schemas.openxmlformats.org/officeDocument/2006/relationships/worksheet" Target="/xl/worksheets/sheet3.xml" Id="Raf2517501f3e4486" /><Relationship Type="http://schemas.openxmlformats.org/officeDocument/2006/relationships/worksheet" Target="/xl/worksheets/sheet4.xml" Id="R37f9d33a16d04250" /><Relationship Type="http://schemas.openxmlformats.org/officeDocument/2006/relationships/worksheet" Target="/xl/worksheets/sheet5.xml" Id="Rd92cc85da5f54128" /><Relationship Type="http://schemas.openxmlformats.org/officeDocument/2006/relationships/worksheet" Target="/xl/worksheets/sheet6.xml" Id="Rb75477f3acdd48ca" /><Relationship Type="http://schemas.openxmlformats.org/officeDocument/2006/relationships/worksheet" Target="/xl/worksheets/sheet7.xml" Id="R9e1eb18c3f8648dc" /><Relationship Type="http://schemas.openxmlformats.org/officeDocument/2006/relationships/worksheet" Target="/xl/worksheets/sheet8.xml" Id="Rd96ba3e9df8e4c96" /><Relationship Type="http://schemas.openxmlformats.org/officeDocument/2006/relationships/worksheet" Target="/xl/worksheets/sheet9.xml" Id="R28919e8acb93418c" /><Relationship Type="http://schemas.openxmlformats.org/officeDocument/2006/relationships/worksheet" Target="/xl/worksheets/sheet10.xml" Id="Re55a2e74888c436c" /></Relationships>
</file>

<file path=xl/tables/table1.xml><?xml version="1.0" encoding="utf-8"?>
<x:table xmlns:x="http://schemas.openxmlformats.org/spreadsheetml/2006/main" id="1" name="PipelineDefinitions" displayName="PipelineDefinitions" ref="A1:J10" headerRowCount="1" totalsRowCount="0" totalsRowShown="0">
  <x:tableColumns count="10">
    <x:tableColumn id="1" name="R ID"/>
    <x:tableColumn id="2" name="主Pipeline"/>
    <x:tableColumn id="3" name="核心证据状态"/>
    <x:tableColumn id="4" name="控制流"/>
    <x:tableColumn id="5" name="停止条件"/>
    <x:tableColumn id="6" name="查询头/配置"/>
    <x:tableColumn id="7" name="硬边界"/>
    <x:tableColumn id="8" name="原P来源"/>
    <x:tableColumn id="9" name="典型入口（非整类硬绑定）"/>
    <x:tableColumn id="10" name="实现注意"/>
  </x:tableColumns>
  <x:tableStyleInfo name="TableStyleMedium2" showFirstColumn="0" showLastColumn="0" showRowStripes="1" showColumnStripes="0"/>
</x:table>
</file>

<file path=xl/tables/table2.xml><?xml version="1.0" encoding="utf-8"?>
<x:table xmlns:x="http://schemas.openxmlformats.org/spreadsheetml/2006/main" id="2" name="NativeReclassification" displayName="NativeReclassification" ref="A1:O128" headerRowCount="1" totalsRowCount="0" totalsRowShown="0">
  <x:tableColumns count="15">
    <x:tableColumn id="1" name="Source ID"/>
    <x:tableColumn id="2" name="Benchmark"/>
    <x:tableColumn id="3" name="原生题型（保留）"/>
    <x:tableColumn id="4" name="旧P候选"/>
    <x:tableColumn id="5" name="建议默认R（需子型）"/>
    <x:tableColumn id="6" name="代表题建议R"/>
    <x:tableColumn id="7" name="条件候选R"/>
    <x:tableColumn id="8" name="执行子型与重新分类理由"/>
    <x:tableColumn id="9" name="必须/可选组件"/>
    <x:tableColumn id="10" name="代表题英文（原表）"/>
    <x:tableColumn id="11" name="核对层级"/>
    <x:tableColumn id="12" name="审阅状态"/>
    <x:tableColumn id="13" name="论文URL"/>
    <x:tableColumn id="14" name="章节/例题位置"/>
    <x:tableColumn id="15" name="数据或项目URL"/>
  </x:tableColumns>
  <x:tableStyleInfo name="TableStyleMedium2" showFirstColumn="0" showLastColumn="0" showRowStripes="1" showColumnStripes="0"/>
</x:table>
</file>

<file path=xl/tables/table3.xml><?xml version="1.0" encoding="utf-8"?>
<x:table xmlns:x="http://schemas.openxmlformats.org/spreadsheetml/2006/main" id="3" name="MigrationTable" displayName="MigrationTable" ref="A1:G21" headerRowCount="1" totalsRowCount="0" totalsRowShown="0">
  <x:tableColumns count="7">
    <x:tableColumn id="1" name="旧P"/>
    <x:tableColumn id="2" name="旧策略"/>
    <x:tableColumn id="3" name="旧核心状态"/>
    <x:tableColumn id="4" name="新去向"/>
    <x:tableColumn id="5" name="调整层级"/>
    <x:tableColumn id="6" name="理由/边界"/>
    <x:tableColumn id="7" name="旧控制流（保留）"/>
  </x:tableColumns>
  <x:tableStyleInfo name="TableStyleMedium2" showFirstColumn="0" showLastColumn="0" showRowStripes="1" showColumnStripes="0"/>
</x:table>
</file>

<file path=xl/tables/table4.xml><?xml version="1.0" encoding="utf-8"?>
<x:table xmlns:x="http://schemas.openxmlformats.org/spreadsheetml/2006/main" id="4" name="BoundaryCases" displayName="BoundaryCases" ref="A1:I19" headerRowCount="1" totalsRowCount="0" totalsRowShown="0">
  <x:tableColumns count="9">
    <x:tableColumn id="1" name="Benchmark"/>
    <x:tableColumn id="2" name="原生类型"/>
    <x:tableColumn id="3" name="原表代表题"/>
    <x:tableColumn id="4" name="旧P候选"/>
    <x:tableColumn id="5" name="代表题R"/>
    <x:tableColumn id="6" name="修正理由/条件"/>
    <x:tableColumn id="7" name="核对与不确定性"/>
    <x:tableColumn id="8" name="论文URL"/>
    <x:tableColumn id="9" name="数据/项目URL"/>
  </x:tableColumns>
  <x:tableStyleInfo name="TableStyleMedium2" showFirstColumn="0" showLastColumn="0" showRowStripes="1" showColumnStripes="0"/>
</x:table>
</file>

<file path=xl/tables/table5.xml><?xml version="1.0" encoding="utf-8"?>
<x:table xmlns:x="http://schemas.openxmlformats.org/spreadsheetml/2006/main" id="5" name="ExpandedAudit" displayName="ExpandedAudit" ref="A1:N160" headerRowCount="1" totalsRowCount="0" totalsRowShown="0">
  <x:tableColumns count="14">
    <x:tableColumn id="1" name="Pipeline ID"/>
    <x:tableColumn id="2" name="Pipeline 名称"/>
    <x:tableColumn id="3" name="Benchmark"/>
    <x:tableColumn id="4" name="Benchmark 原生题型"/>
    <x:tableColumn id="5" name="代表原题（英文）"/>
    <x:tableColumn id="6" name="原题选项（英文）"/>
    <x:tableColumn id="7" name="题干中文翻译"/>
    <x:tableColumn id="8" name="代表题建议R"/>
    <x:tableColumn id="9" name="条件候选R"/>
    <x:tableColumn id="10" name="修正理由/条件"/>
    <x:tableColumn id="11" name="审阅状态"/>
    <x:tableColumn id="12" name="Source ID"/>
    <x:tableColumn id="13" name="论文URL"/>
    <x:tableColumn id="14" name="数据/项目URL"/>
  </x:tableColumns>
  <x:tableStyleInfo name="TableStyleMedium2" showFirstColumn="0" showLastColumn="0" showRowStripes="1" showColumnStripes="0"/>
</x:table>
</file>

<file path=xl/tables/table6.xml><?xml version="1.0" encoding="utf-8"?>
<x:table xmlns:x="http://schemas.openxmlformats.org/spreadsheetml/2006/main" id="6" name="ConditionsPreserved" displayName="ConditionsPreserved" ref="A1:AB178" headerRowCount="1" totalsRowCount="0" totalsRowShown="0">
  <x:tableColumns count="28">
    <x:tableColumn id="1" name="Condition ID"/>
    <x:tableColumn id="2" name="Source ID"/>
    <x:tableColumn id="3" name="Benchmark"/>
    <x:tableColumn id="4" name="论文原生题型"/>
    <x:tableColumn id="5" name="Task Code"/>
    <x:tableColumn id="6" name="Data split"/>
    <x:tableColumn id="7" name="输入模态"/>
    <x:tableColumn id="8" name="输出形式"/>
    <x:tableColumn id="9" name="选项数"/>
    <x:tableColumn id="10" name="指标"/>
    <x:tableColumn id="11" name="样本数"/>
    <x:tableColumn id="12" name="Wrapper"/>
    <x:tableColumn id="13" name="资源预算状态"/>
    <x:tableColumn id="14" name="max_frames"/>
    <x:tableColumn id="15" name="max_visual_tokens"/>
    <x:tableColumn id="16" name="max_text_tokens"/>
    <x:tableColumn id="17" name="context_window_tokens"/>
    <x:tableColumn id="18" name="G候选"/>
    <x:tableColumn id="19" name="P候选"/>
    <x:tableColumn id="20" name="P候选数"/>
    <x:tableColumn id="21" name="P映射状态"/>
    <x:tableColumn id="22" name="候选主P"/>
    <x:tableColumn id="23" name="后端"/>
    <x:tableColumn id="24" name="备注"/>
    <x:tableColumn id="25" name="建议默认R（需子型）"/>
    <x:tableColumn id="26" name="条件候选R"/>
    <x:tableColumn id="27" name="继承与核验范围"/>
    <x:tableColumn id="28" name="执行子型规则"/>
  </x:tableColumns>
  <x:tableStyleInfo name="TableStyleMedium2" showFirstColumn="0" showLastColumn="0" showRowStripes="1" showColumnStripes="0"/>
</x:table>
</file>

<file path=xl/tables/table7.xml><?xml version="1.0" encoding="utf-8"?>
<x:table xmlns:x="http://schemas.openxmlformats.org/spreadsheetml/2006/main" id="7" name="SourceIndex" displayName="SourceIndex" ref="A1:F13" headerRowCount="1" totalsRowCount="0" totalsRowShown="0">
  <x:tableColumns count="6">
    <x:tableColumn id="1" name="Benchmark/模型"/>
    <x:tableColumn id="2" name="原论文/官方模型卡URL"/>
    <x:tableColumn id="3" name="核对位置"/>
    <x:tableColumn id="4" name="官方数据或项目URL"/>
    <x:tableColumn id="5" name="读取内容"/>
    <x:tableColumn id="6" name="版本与限制"/>
  </x:tableColumns>
  <x:tableStyleInfo name="TableStyleMedium2" showFirstColumn="0" showLastColumn="0" showRowStripes="1" showColumnStripes="0"/>
</x:table>
</file>

<file path=xl/tables/table8.xml><?xml version="1.0" encoding="utf-8"?>
<x:table xmlns:x="http://schemas.openxmlformats.org/spreadsheetml/2006/main" id="8" name="EvaluationProtocol" displayName="EvaluationProtocol" ref="A1:C23" headerRowCount="1" totalsRowCount="0" totalsRowShown="0">
  <x:tableColumns count="3">
    <x:tableColumn id="1" name="议题"/>
    <x:tableColumn id="2" name="建议"/>
    <x:tableColumn id="3" name="必须保留的限制/解释"/>
  </x:tableColumns>
  <x:tableStyleInfo name="TableStyleMedium2" showFirstColumn="0" showLastColumn="0" showRowStripes="1" showColumnStripes="0"/>
</x:table>
</file>

<file path=xl/tables/table9.xml><?xml version="1.0" encoding="utf-8"?>
<x:table xmlns:x="http://schemas.openxmlformats.org/spreadsheetml/2006/main" id="9" name="SampleContract" displayName="SampleContract" ref="A1:C15" headerRowCount="1" totalsRowCount="0" totalsRowShown="0">
  <x:tableColumns count="3">
    <x:tableColumn id="1" name="字段"/>
    <x:tableColumn id="2" name="建议类型/取值"/>
    <x:tableColumn id="3" name="用途与规则"/>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c43ae2d242564a13" /></Relationships>
</file>

<file path=xl/worksheets/_rels/sheet3.xml.rels>&#65279;<?xml version="1.0" encoding="utf-8"?><Relationships xmlns="http://schemas.openxmlformats.org/package/2006/relationships"><Relationship Type="http://schemas.openxmlformats.org/officeDocument/2006/relationships/table" Target="/xl/tables/table2.xml" Id="R927d3ad9a9d14307" /></Relationships>
</file>

<file path=xl/worksheets/_rels/sheet4.xml.rels>&#65279;<?xml version="1.0" encoding="utf-8"?><Relationships xmlns="http://schemas.openxmlformats.org/package/2006/relationships"><Relationship Type="http://schemas.openxmlformats.org/officeDocument/2006/relationships/table" Target="/xl/tables/table3.xml" Id="R8f030d7fc030439c" /></Relationships>
</file>

<file path=xl/worksheets/_rels/sheet5.xml.rels>&#65279;<?xml version="1.0" encoding="utf-8"?><Relationships xmlns="http://schemas.openxmlformats.org/package/2006/relationships"><Relationship Type="http://schemas.openxmlformats.org/officeDocument/2006/relationships/table" Target="/xl/tables/table4.xml" Id="Rbb3dc234cb624a95" /></Relationships>
</file>

<file path=xl/worksheets/_rels/sheet6.xml.rels>&#65279;<?xml version="1.0" encoding="utf-8"?><Relationships xmlns="http://schemas.openxmlformats.org/package/2006/relationships"><Relationship Type="http://schemas.openxmlformats.org/officeDocument/2006/relationships/table" Target="/xl/tables/table5.xml" Id="R4126d34c15954a50" /></Relationships>
</file>

<file path=xl/worksheets/_rels/sheet7.xml.rels>&#65279;<?xml version="1.0" encoding="utf-8"?><Relationships xmlns="http://schemas.openxmlformats.org/package/2006/relationships"><Relationship Type="http://schemas.openxmlformats.org/officeDocument/2006/relationships/table" Target="/xl/tables/table6.xml" Id="Rafbdf891033945db" /></Relationships>
</file>

<file path=xl/worksheets/_rels/sheet8.xml.rels>&#65279;<?xml version="1.0" encoding="utf-8"?><Relationships xmlns="http://schemas.openxmlformats.org/package/2006/relationships"><Relationship Type="http://schemas.openxmlformats.org/officeDocument/2006/relationships/table" Target="/xl/tables/table7.xml" Id="R10473669f95a487a" /></Relationships>
</file>

<file path=xl/worksheets/_rels/sheet9.xml.rels>&#65279;<?xml version="1.0" encoding="utf-8"?><Relationships xmlns="http://schemas.openxmlformats.org/package/2006/relationships"><Relationship Type="http://schemas.openxmlformats.org/officeDocument/2006/relationships/table" Target="/xl/tables/table8.xml" Id="Re5419d47e7bc4c97" /></Relationships>
</file>

<file path=xl/worksheets/_rels/sheet10.xml.rels>&#65279;<?xml version="1.0" encoding="utf-8"?><Relationships xmlns="http://schemas.openxmlformats.org/package/2006/relationships"><Relationship Type="http://schemas.openxmlformats.org/officeDocument/2006/relationships/table" Target="/xl/tables/table9.xml" Id="Rfc20300235e54444" /></Relationships>
</file>

<file path=xl/worksheets/sheet1.xml><?xml version="1.0" encoding="utf-8"?>
<x:worksheet xmlns:x="http://schemas.openxmlformats.org/spreadsheetml/2006/main">
  <x:sheetFormatPr defaultRowHeight="15"/>
  <x:cols>
    <x:col min="1" max="1" width="14" hidden="0" customWidth="1"/>
    <x:col min="2" max="2" width="14"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s>
  <x:sheetData>
    <x:row r="1" ht="28" customHeight="1">
      <x:c r="A1" s="19" t="str">
        <x:v>视频 Benchmark｜Pipeline 题型映射 v0.4</x:v>
      </x:c>
      <x:c r="B1" s="19"/>
      <x:c r="C1" s="19"/>
      <x:c r="D1" s="19"/>
      <x:c r="E1" s="19"/>
      <x:c r="F1" s="19"/>
      <x:c r="G1" s="19"/>
      <x:c r="H1" s="19"/>
      <x:c r="I1" s="19"/>
      <x:c r="J1" s="19"/>
    </x:row>
    <x:row r="2" ht="28" customHeight="1">
      <x:c r="A2" s="19"/>
      <x:c r="B2" s="19"/>
      <x:c r="C2" s="19"/>
      <x:c r="D2" s="19"/>
      <x:c r="E2" s="19"/>
      <x:c r="F2" s="19"/>
      <x:c r="G2" s="19"/>
      <x:c r="H2" s="19"/>
      <x:c r="I2" s="19"/>
      <x:c r="J2" s="19"/>
    </x:row>
    <x:row r="3" ht="24" customHeight="1">
      <x:c r="A3" s="23" t="str">
        <x:v>9 类主模板 + 共享检索 / 音画对齐 / 历史截止 / 输出评分封装。按“证据状态与控制流”归类，不按 Benchmark 标签一刀切。</x:v>
      </x:c>
      <x:c r="B3" s="23"/>
      <x:c r="C3" s="23"/>
      <x:c r="D3" s="23"/>
      <x:c r="E3" s="23"/>
      <x:c r="F3" s="23"/>
      <x:c r="G3" s="23"/>
      <x:c r="H3" s="23"/>
      <x:c r="I3" s="23"/>
      <x:c r="J3" s="23"/>
    </x:row>
    <x:row r="4" ht="24" customHeight="1">
      <x:c r="A4" s="23"/>
      <x:c r="B4" s="23"/>
      <x:c r="C4" s="23"/>
      <x:c r="D4" s="23"/>
      <x:c r="E4" s="23"/>
      <x:c r="F4" s="23"/>
      <x:c r="G4" s="23"/>
      <x:c r="H4" s="23"/>
      <x:c r="I4" s="23"/>
      <x:c r="J4" s="23"/>
    </x:row>
    <x:row r="5" ht="24" customHeight="1">
      <x:c r="A5" s="16"/>
      <x:c r="B5" s="16"/>
      <x:c r="C5" s="16"/>
      <x:c r="D5" s="16"/>
      <x:c r="E5" s="16"/>
      <x:c r="F5" s="16"/>
      <x:c r="G5" s="16"/>
      <x:c r="H5" s="16"/>
      <x:c r="I5" s="16"/>
      <x:c r="J5" s="16"/>
    </x:row>
    <x:row r="6" ht="24" customHeight="1">
      <x:c r="A6" s="27" t="str">
        <x:v>原主策略</x:v>
      </x:c>
      <x:c r="B6" s="27"/>
      <x:c r="C6" s="27" t="str">
        <x:v>新主模板</x:v>
      </x:c>
      <x:c r="D6" s="27"/>
      <x:c r="E6" s="27" t="str">
        <x:v>原生入口</x:v>
      </x:c>
      <x:c r="F6" s="27"/>
      <x:c r="G6" s="27" t="str">
        <x:v>展开映射</x:v>
      </x:c>
      <x:c r="H6" s="27"/>
      <x:c r="I6" s="27" t="str">
        <x:v>条件行</x:v>
      </x:c>
      <x:c r="J6" s="27"/>
    </x:row>
    <x:row r="7" ht="27" customHeight="1">
      <x:c r="A7" s="32" t="n">
        <x:f>COUNTA('20到9迁移'!A2:A21)</x:f>
        <x:v>20</x:v>
      </x:c>
      <x:c r="B7" s="32"/>
      <x:c r="C7" s="32" t="n">
        <x:f>COUNTA('9类Pipeline'!A2:A10)</x:f>
        <x:v>9</x:v>
      </x:c>
      <x:c r="D7" s="32"/>
      <x:c r="E7" s="32" t="n">
        <x:f>COUNTA('127题型重分类'!A2:A128)</x:f>
        <x:v>127</x:v>
      </x:c>
      <x:c r="F7" s="32"/>
      <x:c r="G7" s="32" t="n">
        <x:f>COUNTA('159原映射审计'!A2:A160)</x:f>
        <x:v>159</x:v>
      </x:c>
      <x:c r="H7" s="32"/>
      <x:c r="I7" s="32" t="n">
        <x:f>COUNTA('177条件继承'!A2:A178)</x:f>
        <x:v>177</x:v>
      </x:c>
      <x:c r="J7" s="32"/>
    </x:row>
    <x:row r="8" ht="27" customHeight="1">
      <x:c r="A8" s="32"/>
      <x:c r="B8" s="32"/>
      <x:c r="C8" s="32"/>
      <x:c r="D8" s="32"/>
      <x:c r="E8" s="32"/>
      <x:c r="F8" s="32"/>
      <x:c r="G8" s="32"/>
      <x:c r="H8" s="32"/>
      <x:c r="I8" s="32"/>
      <x:c r="J8" s="32"/>
    </x:row>
    <x:row r="9" ht="24" customHeight="1">
      <x:c r="A9" s="16"/>
      <x:c r="B9" s="16"/>
      <x:c r="C9" s="16"/>
      <x:c r="D9" s="16"/>
      <x:c r="E9" s="16"/>
      <x:c r="F9" s="16"/>
      <x:c r="G9" s="16"/>
      <x:c r="H9" s="16"/>
      <x:c r="I9" s="16"/>
      <x:c r="J9" s="16"/>
    </x:row>
    <x:row r="10" ht="24" customHeight="1">
      <x:c r="A10" s="23" t="str">
        <x:v>主模板数量变化</x:v>
      </x:c>
      <x:c r="B10" s="23"/>
      <x:c r="C10" s="23"/>
      <x:c r="D10" s="39" t="n">
        <x:f>1-C7/A7</x:f>
        <x:v>0.55</x:v>
      </x:c>
      <x:c r="E10" s="23" t="str">
        <x:v>仅为模板数量减少比例，不是速度或准确率提升。</x:v>
      </x:c>
      <x:c r="F10" s="23"/>
      <x:c r="G10" s="23"/>
      <x:c r="H10" s="23"/>
      <x:c r="I10" s="23"/>
      <x:c r="J10" s="23"/>
    </x:row>
    <x:row r="11" ht="24" customHeight="1">
      <x:c r="A11" s="16"/>
      <x:c r="B11" s="16"/>
      <x:c r="C11" s="16"/>
      <x:c r="D11" s="16"/>
      <x:c r="E11" s="16"/>
      <x:c r="F11" s="16"/>
      <x:c r="G11" s="16"/>
      <x:c r="H11" s="16"/>
      <x:c r="I11" s="16"/>
      <x:c r="J11" s="16"/>
    </x:row>
    <x:row r="12" ht="34" customHeight="1">
      <x:c r="A12" s="10" t="str">
        <x:v>ID</x:v>
      </x:c>
      <x:c r="B12" s="10" t="str">
        <x:v>主Pipeline</x:v>
      </x:c>
      <x:c r="C12" s="10"/>
      <x:c r="D12" s="10"/>
      <x:c r="E12" s="10" t="str">
        <x:v>原生入口默认数</x:v>
      </x:c>
      <x:c r="F12" s="10"/>
      <x:c r="G12" s="10" t="str">
        <x:v>代表题建议数</x:v>
      </x:c>
      <x:c r="H12" s="10"/>
      <x:c r="I12" s="10" t="str">
        <x:v>默认占比</x:v>
      </x:c>
      <x:c r="J12" s="10"/>
    </x:row>
    <x:row r="13" ht="29" customHeight="1">
      <x:c r="A13" s="22" t="str">
        <x:v>R1</x:v>
      </x:c>
      <x:c r="B13" s="22" t="str">
        <x:v>定向定位与局部取证</x:v>
      </x:c>
      <x:c r="C13" s="22"/>
      <x:c r="D13" s="22"/>
      <x:c r="E13" s="22" t="n">
        <x:f>COUNTIF('127题型重分类'!$E$2:$E$128,A13)</x:f>
        <x:v>29</x:v>
      </x:c>
      <x:c r="F13" s="22"/>
      <x:c r="G13" s="22" t="n">
        <x:f>COUNTIF('127题型重分类'!$F$2:$F$128,A13)</x:f>
        <x:v>31</x:v>
      </x:c>
      <x:c r="H13" s="22"/>
      <x:c r="I13" s="44" t="n">
        <x:f>E13/$E$7</x:f>
        <x:v>0.2283464566929134</x:v>
      </x:c>
      <x:c r="J13" s="44"/>
    </x:row>
    <x:row r="14" ht="29" customHeight="1">
      <x:c r="A14" s="46" t="str">
        <x:v>R2</x:v>
      </x:c>
      <x:c r="B14" s="46" t="str">
        <x:v>连续动态与实体状态追踪</x:v>
      </x:c>
      <x:c r="C14" s="46"/>
      <x:c r="D14" s="46"/>
      <x:c r="E14" s="46" t="n">
        <x:f>COUNTIF('127题型重分类'!$E$2:$E$128,A14)</x:f>
        <x:v>25</x:v>
      </x:c>
      <x:c r="F14" s="46"/>
      <x:c r="G14" s="46" t="n">
        <x:f>COUNTIF('127题型重分类'!$F$2:$F$128,A14)</x:f>
        <x:v>23</x:v>
      </x:c>
      <x:c r="H14" s="46"/>
      <x:c r="I14" s="47" t="n">
        <x:f>E14/$E$7</x:f>
        <x:v>0.1968503937007874</x:v>
      </x:c>
      <x:c r="J14" s="47"/>
    </x:row>
    <x:row r="15" ht="29" customHeight="1">
      <x:c r="A15" s="22" t="str">
        <x:v>R3</x:v>
      </x:c>
      <x:c r="B15" s="22" t="str">
        <x:v>事件账本与时序归约</x:v>
      </x:c>
      <x:c r="C15" s="22"/>
      <x:c r="D15" s="22"/>
      <x:c r="E15" s="22" t="n">
        <x:f>COUNTIF('127题型重分类'!$E$2:$E$128,A15)</x:f>
        <x:v>28</x:v>
      </x:c>
      <x:c r="F15" s="22"/>
      <x:c r="G15" s="22" t="n">
        <x:f>COUNTIF('127题型重分类'!$F$2:$F$128,A15)</x:f>
        <x:v>28</x:v>
      </x:c>
      <x:c r="H15" s="22"/>
      <x:c r="I15" s="44" t="n">
        <x:f>E15/$E$7</x:f>
        <x:v>0.2204724409448819</x:v>
      </x:c>
      <x:c r="J15" s="44"/>
    </x:row>
    <x:row r="16" ht="29" customHeight="1">
      <x:c r="A16" s="46" t="str">
        <x:v>R4</x:v>
      </x:c>
      <x:c r="B16" s="46" t="str">
        <x:v>清单构建与集合归约</x:v>
      </x:c>
      <x:c r="C16" s="46"/>
      <x:c r="D16" s="46"/>
      <x:c r="E16" s="46" t="n">
        <x:f>COUNTIF('127题型重分类'!$E$2:$E$128,A16)</x:f>
        <x:v>8</x:v>
      </x:c>
      <x:c r="F16" s="46"/>
      <x:c r="G16" s="46" t="n">
        <x:f>COUNTIF('127题型重分类'!$F$2:$F$128,A16)</x:f>
        <x:v>10</x:v>
      </x:c>
      <x:c r="H16" s="46"/>
      <x:c r="I16" s="47" t="n">
        <x:f>E16/$E$7</x:f>
        <x:v>0.06299212598425197</x:v>
      </x:c>
      <x:c r="J16" s="47"/>
    </x:row>
    <x:row r="17" ht="29" customHeight="1">
      <x:c r="A17" s="22" t="str">
        <x:v>R5</x:v>
      </x:c>
      <x:c r="B17" s="22" t="str">
        <x:v>分段全局综合</x:v>
      </x:c>
      <x:c r="C17" s="22"/>
      <x:c r="D17" s="22"/>
      <x:c r="E17" s="22" t="n">
        <x:f>COUNTIF('127题型重分类'!$E$2:$E$128,A17)</x:f>
        <x:v>5</x:v>
      </x:c>
      <x:c r="F17" s="22"/>
      <x:c r="G17" s="22" t="n">
        <x:f>COUNTIF('127题型重分类'!$F$2:$F$128,A17)</x:f>
        <x:v>4</x:v>
      </x:c>
      <x:c r="H17" s="22"/>
      <x:c r="I17" s="44" t="n">
        <x:f>E17/$E$7</x:f>
        <x:v>0.03937007874015748</x:v>
      </x:c>
      <x:c r="J17" s="44"/>
    </x:row>
    <x:row r="18" ht="29" customHeight="1">
      <x:c r="A18" s="46" t="str">
        <x:v>R6</x:v>
      </x:c>
      <x:c r="B18" s="46" t="str">
        <x:v>证据约束关系推理</x:v>
      </x:c>
      <x:c r="C18" s="46"/>
      <x:c r="D18" s="46"/>
      <x:c r="E18" s="46" t="n">
        <x:f>COUNTIF('127题型重分类'!$E$2:$E$128,A18)</x:f>
        <x:v>19</x:v>
      </x:c>
      <x:c r="F18" s="46"/>
      <x:c r="G18" s="46" t="n">
        <x:f>COUNTIF('127题型重分类'!$F$2:$F$128,A18)</x:f>
        <x:v>16</x:v>
      </x:c>
      <x:c r="H18" s="46"/>
      <x:c r="I18" s="47" t="n">
        <x:f>E18/$E$7</x:f>
        <x:v>0.14960629921259844</x:v>
      </x:c>
      <x:c r="J18" s="47"/>
    </x:row>
    <x:row r="19" ht="29" customHeight="1">
      <x:c r="A19" s="22" t="str">
        <x:v>R7</x:v>
      </x:c>
      <x:c r="B19" s="22" t="str">
        <x:v>假设与未来推演</x:v>
      </x:c>
      <x:c r="C19" s="22"/>
      <x:c r="D19" s="22"/>
      <x:c r="E19" s="22" t="n">
        <x:f>COUNTIF('127题型重分类'!$E$2:$E$128,A19)</x:f>
        <x:v>4</x:v>
      </x:c>
      <x:c r="F19" s="22"/>
      <x:c r="G19" s="22" t="n">
        <x:f>COUNTIF('127题型重分类'!$F$2:$F$128,A19)</x:f>
        <x:v>4</x:v>
      </x:c>
      <x:c r="H19" s="22"/>
      <x:c r="I19" s="44" t="n">
        <x:f>E19/$E$7</x:f>
        <x:v>0.031496062992125984</x:v>
      </x:c>
      <x:c r="J19" s="44"/>
    </x:row>
    <x:row r="20" ht="29" customHeight="1">
      <x:c r="A20" s="46" t="str">
        <x:v>R8</x:v>
      </x:c>
      <x:c r="B20" s="46" t="str">
        <x:v>视觉符号与约束求解</x:v>
      </x:c>
      <x:c r="C20" s="46"/>
      <x:c r="D20" s="46"/>
      <x:c r="E20" s="46" t="n">
        <x:f>COUNTIF('127题型重分类'!$E$2:$E$128,A20)</x:f>
        <x:v>1</x:v>
      </x:c>
      <x:c r="F20" s="46"/>
      <x:c r="G20" s="46" t="n">
        <x:f>COUNTIF('127题型重分类'!$F$2:$F$128,A20)</x:f>
        <x:v>3</x:v>
      </x:c>
      <x:c r="H20" s="46"/>
      <x:c r="I20" s="47" t="n">
        <x:f>E20/$E$7</x:f>
        <x:v>0.007874015748031496</x:v>
      </x:c>
      <x:c r="J20" s="47"/>
    </x:row>
    <x:row r="21" ht="29" customHeight="1">
      <x:c r="A21" s="22" t="str">
        <x:v>R9</x:v>
      </x:c>
      <x:c r="B21" s="22" t="str">
        <x:v>空间场景建模与查询</x:v>
      </x:c>
      <x:c r="C21" s="22"/>
      <x:c r="D21" s="22"/>
      <x:c r="E21" s="22" t="n">
        <x:f>COUNTIF('127题型重分类'!$E$2:$E$128,A21)</x:f>
        <x:v>8</x:v>
      </x:c>
      <x:c r="F21" s="22"/>
      <x:c r="G21" s="22" t="n">
        <x:f>COUNTIF('127题型重分类'!$F$2:$F$128,A21)</x:f>
        <x:v>8</x:v>
      </x:c>
      <x:c r="H21" s="22"/>
      <x:c r="I21" s="44" t="n">
        <x:f>E21/$E$7</x:f>
        <x:v>0.06299212598425197</x:v>
      </x:c>
      <x:c r="J21" s="44"/>
    </x:row>
    <x:row r="22" ht="32" customHeight="1">
      <x:c r="A22" s="51" t="str">
        <x:v>完整性校验（两列均应等于原生入口数）</x:v>
      </x:c>
      <x:c r="B22" s="51"/>
      <x:c r="C22" s="51"/>
      <x:c r="D22" s="51"/>
      <x:c r="E22" s="51" t="n">
        <x:f>SUM(E13:E21)</x:f>
        <x:v>127</x:v>
      </x:c>
      <x:c r="F22" s="51"/>
      <x:c r="G22" s="51" t="n">
        <x:f>SUM(G13:G21)</x:f>
        <x:v>127</x:v>
      </x:c>
      <x:c r="H22" s="51"/>
      <x:c r="I22" s="51" t="str">
        <x:f>IF(AND(E22=E7,G22=E7),"通过","检查")</x:f>
        <x:v>通过</x:v>
      </x:c>
      <x:c r="J22" s="51"/>
    </x:row>
    <x:row r="23" ht="24" customHeight="1">
      <x:c r="A23" s="16"/>
      <x:c r="B23" s="16"/>
      <x:c r="C23" s="16"/>
      <x:c r="D23" s="16"/>
      <x:c r="E23" s="16"/>
      <x:c r="F23" s="16"/>
      <x:c r="G23" s="16"/>
      <x:c r="H23" s="16"/>
      <x:c r="I23" s="16"/>
      <x:c r="J23" s="16"/>
    </x:row>
    <x:row r="24" ht="25" customHeight="1">
      <x:c r="A24" s="23" t="str">
        <x:v>分布口径：按工作簿的 127 个“原生入口”及其代表题统计，不代表各 benchmark 的实际题目数量、样本比例或实测难度。默认 R 只是初始化，最终按执行子型确定。</x:v>
      </x:c>
      <x:c r="B24" s="23"/>
      <x:c r="C24" s="23"/>
      <x:c r="D24" s="23"/>
      <x:c r="E24" s="23"/>
      <x:c r="F24" s="23"/>
      <x:c r="G24" s="23"/>
      <x:c r="H24" s="23"/>
      <x:c r="I24" s="23"/>
      <x:c r="J24" s="23"/>
    </x:row>
    <x:row r="25" ht="25" customHeight="1">
      <x:c r="A25" s="23"/>
      <x:c r="B25" s="23"/>
      <x:c r="C25" s="23"/>
      <x:c r="D25" s="23"/>
      <x:c r="E25" s="23"/>
      <x:c r="F25" s="23"/>
      <x:c r="G25" s="23"/>
      <x:c r="H25" s="23"/>
      <x:c r="I25" s="23"/>
      <x:c r="J25" s="23"/>
    </x:row>
    <x:row r="26" ht="24" customHeight="1">
      <x:c r="A26" s="16"/>
      <x:c r="B26" s="16"/>
      <x:c r="C26" s="16"/>
      <x:c r="D26" s="16"/>
      <x:c r="E26" s="16"/>
      <x:c r="F26" s="16"/>
      <x:c r="G26" s="16"/>
      <x:c r="H26" s="16"/>
      <x:c r="I26" s="16"/>
      <x:c r="J26" s="16"/>
    </x:row>
    <x:row r="27" ht="25" customHeight="1">
      <x:c r="A27" s="55" t="str">
        <x:v>证据等级：已查原论文定义、任务模板、代表例题及部分官方标注；未逐一观看全部视频，也未运行 Qwen。题干不足以消歧的条目保留条件/待审标签。</x:v>
      </x:c>
      <x:c r="B27" s="55"/>
      <x:c r="C27" s="55"/>
      <x:c r="D27" s="55"/>
      <x:c r="E27" s="55"/>
      <x:c r="F27" s="55"/>
      <x:c r="G27" s="55"/>
      <x:c r="H27" s="55"/>
      <x:c r="I27" s="55"/>
      <x:c r="J27" s="55"/>
    </x:row>
    <x:row r="28" ht="25" customHeight="1">
      <x:c r="A28" s="55"/>
      <x:c r="B28" s="55"/>
      <x:c r="C28" s="55"/>
      <x:c r="D28" s="55"/>
      <x:c r="E28" s="55"/>
      <x:c r="F28" s="55"/>
      <x:c r="G28" s="55"/>
      <x:c r="H28" s="55"/>
      <x:c r="I28" s="55"/>
      <x:c r="J28" s="55"/>
    </x:row>
    <x:row r="29" ht="24" customHeight="1">
      <x:c r="A29" s="16"/>
      <x:c r="B29" s="16"/>
      <x:c r="C29" s="16"/>
      <x:c r="D29" s="16"/>
      <x:c r="E29" s="16"/>
      <x:c r="F29" s="16"/>
      <x:c r="G29" s="16"/>
      <x:c r="H29" s="16"/>
      <x:c r="I29" s="16"/>
      <x:c r="J29" s="16"/>
    </x:row>
    <x:row r="30" ht="25" customHeight="1">
      <x:c r="A30" s="23" t="str">
        <x:v>建议阅读顺序：9类Pipeline → 关键边界与反例 → 127题型重分类。159原映射审计和177条件继承保留旧表信息，便于逐项迁移和回查。</x:v>
      </x:c>
      <x:c r="B30" s="23"/>
      <x:c r="C30" s="23"/>
      <x:c r="D30" s="23"/>
      <x:c r="E30" s="23"/>
      <x:c r="F30" s="23"/>
      <x:c r="G30" s="23"/>
      <x:c r="H30" s="23"/>
      <x:c r="I30" s="23"/>
      <x:c r="J30" s="23"/>
    </x:row>
    <x:row r="31" ht="25" customHeight="1">
      <x:c r="A31" s="23"/>
      <x:c r="B31" s="23"/>
      <x:c r="C31" s="23"/>
      <x:c r="D31" s="23"/>
      <x:c r="E31" s="23"/>
      <x:c r="F31" s="23"/>
      <x:c r="G31" s="23"/>
      <x:c r="H31" s="23"/>
      <x:c r="I31" s="23"/>
      <x:c r="J31" s="23"/>
    </x:row>
    <x:row r="32" ht="24" customHeight="1">
      <x:c r="A32" s="16"/>
      <x:c r="B32" s="16"/>
      <x:c r="C32" s="16"/>
      <x:c r="D32" s="16"/>
      <x:c r="E32" s="16"/>
      <x:c r="F32" s="16"/>
      <x:c r="G32" s="16"/>
      <x:c r="H32" s="16"/>
      <x:c r="I32" s="16"/>
      <x:c r="J32" s="16"/>
    </x:row>
    <x:row r="33" ht="25" customHeight="1">
      <x:c r="A33" s="23" t="str">
        <x:v>核验重点：V2 Basic Counting 的事件/实例差异；TVBench Action Count 的计数单位；音画输入权限；历史/预测截止；官方 Group-QA 与数值/生成评分协议。</x:v>
      </x:c>
      <x:c r="B33" s="23"/>
      <x:c r="C33" s="23"/>
      <x:c r="D33" s="23"/>
      <x:c r="E33" s="23"/>
      <x:c r="F33" s="23"/>
      <x:c r="G33" s="23"/>
      <x:c r="H33" s="23"/>
      <x:c r="I33" s="23"/>
      <x:c r="J33" s="23"/>
    </x:row>
    <x:row r="34" ht="25" customHeight="1">
      <x:c r="A34" s="23"/>
      <x:c r="B34" s="23"/>
      <x:c r="C34" s="23"/>
      <x:c r="D34" s="23"/>
      <x:c r="E34" s="23"/>
      <x:c r="F34" s="23"/>
      <x:c r="G34" s="23"/>
      <x:c r="H34" s="23"/>
      <x:c r="I34" s="23"/>
      <x:c r="J34" s="23"/>
    </x:row>
  </x:sheetData>
  <x:mergeCells>
    <x:mergeCell ref="A1:J2"/>
    <x:mergeCell ref="A3:J4"/>
    <x:mergeCell ref="A6:B6"/>
    <x:mergeCell ref="C6:D6"/>
    <x:mergeCell ref="E6:F6"/>
    <x:mergeCell ref="G6:H6"/>
    <x:mergeCell ref="I6:J6"/>
    <x:mergeCell ref="A7:B8"/>
    <x:mergeCell ref="C7:D8"/>
    <x:mergeCell ref="E7:F8"/>
    <x:mergeCell ref="G7:H8"/>
    <x:mergeCell ref="I7:J8"/>
    <x:mergeCell ref="A10:C10"/>
    <x:mergeCell ref="E10:J10"/>
    <x:mergeCell ref="B12:D12"/>
    <x:mergeCell ref="E12:F12"/>
    <x:mergeCell ref="G12:H12"/>
    <x:mergeCell ref="I12:J12"/>
    <x:mergeCell ref="B13:D13"/>
    <x:mergeCell ref="E13:F13"/>
    <x:mergeCell ref="G13:H13"/>
    <x:mergeCell ref="I13:J13"/>
    <x:mergeCell ref="B14:D14"/>
    <x:mergeCell ref="E14:F14"/>
    <x:mergeCell ref="G14:H14"/>
    <x:mergeCell ref="I14:J14"/>
    <x:mergeCell ref="B15:D15"/>
    <x:mergeCell ref="E15:F15"/>
    <x:mergeCell ref="G15:H15"/>
    <x:mergeCell ref="I15:J15"/>
    <x:mergeCell ref="B16:D16"/>
    <x:mergeCell ref="E16:F16"/>
    <x:mergeCell ref="G16:H16"/>
    <x:mergeCell ref="I16:J16"/>
    <x:mergeCell ref="B17:D17"/>
    <x:mergeCell ref="E17:F17"/>
    <x:mergeCell ref="G17:H17"/>
    <x:mergeCell ref="I17:J17"/>
    <x:mergeCell ref="B18:D18"/>
    <x:mergeCell ref="E18:F18"/>
    <x:mergeCell ref="G18:H18"/>
    <x:mergeCell ref="I18:J18"/>
    <x:mergeCell ref="B19:D19"/>
    <x:mergeCell ref="E19:F19"/>
    <x:mergeCell ref="G19:H19"/>
    <x:mergeCell ref="I19:J19"/>
    <x:mergeCell ref="B20:D20"/>
    <x:mergeCell ref="E20:F20"/>
    <x:mergeCell ref="G20:H20"/>
    <x:mergeCell ref="I20:J20"/>
    <x:mergeCell ref="B21:D21"/>
    <x:mergeCell ref="E21:F21"/>
    <x:mergeCell ref="G21:H21"/>
    <x:mergeCell ref="I21:J21"/>
    <x:mergeCell ref="A22:D22"/>
    <x:mergeCell ref="E22:F22"/>
    <x:mergeCell ref="G22:H22"/>
    <x:mergeCell ref="I22:J22"/>
    <x:mergeCell ref="A24:J25"/>
    <x:mergeCell ref="A27:J28"/>
    <x:mergeCell ref="A30:J31"/>
    <x:mergeCell ref="A33:J34"/>
  </x:mergeCells>
  <x:pageMargins left="0.7" right="0.7" top="0.75" bottom="0.75" header="0.3" footer="0.3"/>
</x:worksheet>
</file>

<file path=xl/worksheets/sheet2.xml><?xml version="1.0" encoding="utf-8"?>
<x:worksheet xmlns:x="http://schemas.openxmlformats.org/spreadsheetml/2006/main">
  <x:sheetFormatPr defaultRowHeight="15"/>
  <x:cols>
    <x:col min="1" max="1" width="8" hidden="0" customWidth="1"/>
    <x:col min="2" max="2" width="30" hidden="0" customWidth="1"/>
    <x:col min="3" max="3" width="38" hidden="0" customWidth="1"/>
    <x:col min="4" max="4" width="40" hidden="0" customWidth="1"/>
    <x:col min="5" max="5" width="40" hidden="0" customWidth="1"/>
    <x:col min="6" max="6" width="34" hidden="0" customWidth="1"/>
    <x:col min="7" max="7" width="40" hidden="0" customWidth="1"/>
    <x:col min="8" max="8" width="30" hidden="0" customWidth="1"/>
    <x:col min="9" max="9" width="40" hidden="0" customWidth="1"/>
    <x:col min="10" max="10" width="40" hidden="0" customWidth="1"/>
  </x:cols>
  <x:sheetData>
    <x:row r="1" ht="42" customHeight="1">
      <x:c r="A1" s="10" t="str">
        <x:v>R ID</x:v>
      </x:c>
      <x:c r="B1" s="10" t="str">
        <x:v>主Pipeline</x:v>
      </x:c>
      <x:c r="C1" s="10" t="str">
        <x:v>核心证据状态</x:v>
      </x:c>
      <x:c r="D1" s="10" t="str">
        <x:v>控制流</x:v>
      </x:c>
      <x:c r="E1" s="10" t="str">
        <x:v>停止条件</x:v>
      </x:c>
      <x:c r="F1" s="10" t="str">
        <x:v>查询头/配置</x:v>
      </x:c>
      <x:c r="G1" s="10" t="str">
        <x:v>硬边界</x:v>
      </x:c>
      <x:c r="H1" s="10" t="str">
        <x:v>原P来源</x:v>
      </x:c>
      <x:c r="I1" s="10" t="str">
        <x:v>典型入口（非整类硬绑定）</x:v>
      </x:c>
      <x:c r="J1" s="10" t="str">
        <x:v>实现注意</x:v>
      </x:c>
    </x:row>
    <x:row r="2" ht="52" customHeight="1">
      <x:c r="A2" s="4" t="str">
        <x:v>R1</x:v>
      </x:c>
      <x:c r="B2" s="4" t="str">
        <x:v>定向定位与局部取证</x:v>
      </x:c>
      <x:c r="C2" s="4" t="str">
        <x:v>有限证据包：时间段、关键帧/裁剪、直接可见或可听事实</x:v>
      </x:c>
      <x:c r="D2" s="4" t="str">
        <x:v>明确查询范围/锚点 → 必要时粗到细检索 → 局部精看 → 提取直接事实 → 核验选项</x:v>
      </x:c>
      <x:c r="E2" s="4" t="str">
        <x:v>找到区分候选答案的足量直接证据；否定/全部/最后不能只凭一个命中提前停止</x:v>
      </x:c>
      <x:c r="F2" s="4" t="str">
        <x:v>直接跳转/稀疏检索；OCR放大；短片段；音画事实绑定；局部caption</x:v>
      </x:c>
      <x:c r="G2" s="4" t="str">
        <x:v>不要求全片清单、连续身份轨迹、全局梗概或关系链；局部不等于单帧</x:v>
      </x:c>
      <x:c r="H2" s="4" t="str">
        <x:v>P01；P09；P06中的直接锚点取证；P13中的局部事实</x:v>
      </x:c>
      <x:c r="I2" s="4" t="str">
        <x:v>Video-MME OCR；LVBench给定时段发生什么；LongVideoBench TOS；MLVU Needle</x:v>
      </x:c>
      <x:c r="J2" s="4" t="str">
        <x:v>R2需要保留动态状态；R3需要按时间归约；R4需要完整范围的清单/否定覆盖</x:v>
      </x:c>
    </x:row>
    <x:row r="3" ht="52" customHeight="1">
      <x:c r="A3" s="4" t="str">
        <x:v>R2</x:v>
      </x:c>
      <x:c r="B3" s="4" t="str">
        <x:v>连续动态与实体状态追踪</x:v>
      </x:c>
      <x:c r="C3" s="4" t="str">
        <x:v>实体—时间状态轨迹：身份、位置、属性、运动、遮挡；可含周期/相位</x:v>
      </x:c>
      <x:c r="D3" s="4" t="str">
        <x:v>初始化实体 → 选择保留连续性的观察窗口 → 追踪/重识别 → 更新状态 → 查询变化/轨迹/相位</x:v>
      </x:c>
      <x:c r="E3" s="4" t="str">
        <x:v>关键转移和身份对应充分支持答案；端点比较足够时无需逐帧密集处理</x:v>
      </x:c>
      <x:c r="F3" s="4" t="str">
        <x:v>属性差分；动作逆序；方向/速度/幅度；遮挡追踪；周期频率与下一相位</x:v>
      </x:c>
      <x:c r="G3" s="4" t="str">
        <x:v>计数不同实体主R4；计数独立发生次数主R3；跨场景空间参考系主R9</x:v>
      </x:c>
      <x:c r="H3" s="4" t="str">
        <x:v>P02；P03；P06中的状态对比</x:v>
      </x:c>
      <x:c r="I3" s="4" t="str">
        <x:v>MVBench Action Antonym/Moving Direction；TOMATO四类运动题；v2 Entity Persistence/Fine-Grained Action</x:v>
      </x:c>
      <x:c r="J3" s="4" t="str">
        <x:v>不要把视频先压成无时序文本摘要；不要用看到同类外观等价于确认同一实体</x:v>
      </x:c>
    </x:row>
    <x:row r="4" ht="52" customHeight="1">
      <x:c r="A4" s="4" t="str">
        <x:v>R3</x:v>
      </x:c>
      <x:c r="B4" s="4" t="str">
        <x:v>事件账本与时序归约</x:v>
      </x:c>
      <x:c r="C4" s="4" t="str">
        <x:v>事件/区间账本：事件ID、主体、开始/结束时间、边界证据、覆盖范围</x:v>
      </x:c>
      <x:c r="D4" s="4" t="str">
        <x:v>定义事件单位与范围 → 扫描/检索 → 记录事件边界 → 合并重复窗口 → first/last/order/duration/count</x:v>
      </x:c>
      <x:c r="E4" s="4" t="str">
        <x:v>需要穷尽的范围已覆盖且待决边界已处理；局部关系题只覆盖足以证明关系的区间</x:v>
      </x:c>
      <x:c r="F4" s="4" t="str">
        <x:v>次数；顺序；时长；锚点前后；首次/末次；习惯频次/共现统计</x:v>
      </x:c>
      <x:c r="G4" s="4" t="str">
        <x:v>数不同对象/动作种类主R4；看连续轨迹形态主R2；出现next未必是未见未来</x:v>
      </x:c>
      <x:c r="H4" s="4" t="str">
        <x:v>P05；P07；P06中的时序操作；P20中的时间/频率归约</x:v>
      </x:c>
      <x:c r="I4" s="4" t="str">
        <x:v>MLVU Action Count/Order；TVBench Unexpected Action；v2 Repetitive Action Counting；VSI Appearance Order</x:v>
      </x:c>
      <x:c r="J4" s="4" t="str">
        <x:v>密集/分层仅扫描计划不同；必须记录计数单位和观察截止</x:v>
      </x:c>
    </x:row>
    <x:row r="5" ht="52" customHeight="1">
      <x:c r="A5" s="4" t="str">
        <x:v>R4</x:v>
      </x:c>
      <x:c r="B5" s="4" t="str">
        <x:v>清单构建与集合归约</x:v>
      </x:c>
      <x:c r="C5" s="4" t="str">
        <x:v>规范化集合/清单：唯一实体ID、类型、属性、证据、范围和缺失检查</x:v>
      </x:c>
      <x:c r="D5" s="4" t="str">
        <x:v>定义集合及计数单位 → 覆盖指定范围 → 提取/合并身份 → 集合运算/唯一计数/否定核验</x:v>
      </x:c>
      <x:c r="E5" s="4" t="str">
        <x:v>范围覆盖满足穷举需求；身份重复已消解；否定项有足够覆盖而非未检索到</x:v>
      </x:c>
      <x:c r="F5" s="4" t="str">
        <x:v>单帧实例；跨视角实例；全片对象/文字清单；动作种类；计划−已完成</x:v>
      </x:c>
      <x:c r="G5" s="4" t="str">
        <x:v>同一动作发生N次不是N个实体；对象在多帧出现不应重复计数</x:v>
      </x:c>
      <x:c r="H5" s="4" t="str">
        <x:v>P08；P16；P20中的集合归约；P02中的对象计数应用</x:v>
      </x:c>
      <x:c r="I5" s="4" t="str">
        <x:v>VSI Object Count；Video-MME未讨论的物品；EgoLife TaskMaster；v2车厢数量/多少只鸟飞出</x:v>
      </x:c>
      <x:c r="J5" s="4" t="str">
        <x:v>运动过滤可调R2，出现事件可调R3；主任务仍以unique_id集合为状态</x:v>
      </x:c>
    </x:row>
    <x:row r="6" ht="52" customHeight="1">
      <x:c r="A6" s="4" t="str">
        <x:v>R5</x:v>
      </x:c>
      <x:c r="B6" s="4" t="str">
        <x:v>分段全局综合</x:v>
      </x:c>
      <x:c r="C6" s="4" t="str">
        <x:v>按片段覆盖的事件摘要及全局内容表示</x:v>
      </x:c>
      <x:c r="D6" s="4" t="str">
        <x:v>按范围分段 → 每段抽取重要事实/结构 → 合并摘要 → 生成整体梗概/体裁/主题候选 → 回查</x:v>
      </x:c>
      <x:c r="E6" s="4" t="str">
        <x:v>要求范围的主要片段均有代表性证据，综合结论无明显与原片段冲突</x:v>
      </x:c>
      <x:c r="F6" s="4" t="str">
        <x:v>局部大段/全片摘要；主线；主题；体裁；全局行为概括</x:v>
      </x:c>
      <x:c r="G6" s="4" t="str">
        <x:v>有很长输入但答案只依赖局部事实仍R1；隐喻、因果解释主R6</x:v>
      </x:c>
      <x:c r="H6" s="4" t="str">
        <x:v>P10</x:v>
      </x:c>
      <x:c r="I6" s="4" t="str">
        <x:v>MLVU Topic Reasoning/Video Summarization；Video-MME Information Synopsis；EgoSchema整体行为</x:v>
      </x:c>
      <x:c r="J6" s="4" t="str">
        <x:v>不允许只检索少量最相似片段就宣称覆盖全片</x:v>
      </x:c>
    </x:row>
    <x:row r="7" ht="52" customHeight="1">
      <x:c r="A7" s="4" t="str">
        <x:v>R6</x:v>
      </x:c>
      <x:c r="B7" s="4" t="str">
        <x:v>证据约束关系推理</x:v>
      </x:c>
      <x:c r="C7" s="4" t="str">
        <x:v>带来源的事实及关系：原因、意图、人物关系、语义对应、预期/观测差异</x:v>
      </x:c>
      <x:c r="D7" s="4" t="str">
        <x:v>提出待证关系 → 获取支持及反驳证据 → 构建轻量事实/关系表 → 比较解释 → 核验关键跳步</x:v>
      </x:c>
      <x:c r="E7" s="4" t="str">
        <x:v>关系结论被观察证据支持且关键反例被检查；明示答案可降为直接取证</x:v>
      </x:c>
      <x:c r="F7" s="4" t="str">
        <x:v>因果；动机/社会关系；隐喻/笑点；叙事转折；音画语义一致；步骤违例</x:v>
      </x:c>
      <x:c r="G7" s="4" t="str">
        <x:v>不是所有Reasoning标签都需多跳；只读明示事实R1；假设未来R7；明确数学R8</x:v>
      </x:c>
      <x:c r="H7" s="4" t="str">
        <x:v>P11；P14中的真实解释/一致性；P15中的非符号知识关系</x:v>
      </x:c>
      <x:c r="I7" s="4" t="str">
        <x:v>v2 Causal/Collective Dynamics/Metaphorical；Video-MME屋顶为何飞起</x:v>
      </x:c>
      <x:c r="J7" s="4" t="str">
        <x:v>无需为每题维护复杂大图；常识只能提出候选解释，不能代替视频证据</x:v>
      </x:c>
    </x:row>
    <x:row r="8" ht="52" customHeight="1">
      <x:c r="A8" s="4" t="str">
        <x:v>R7</x:v>
      </x:c>
      <x:c r="B8" s="4" t="str">
        <x:v>假设与未来推演</x:v>
      </x:c>
      <x:c r="C8" s="4" t="str">
        <x:v>当前事实状态、观察截止、干预条件、候选未来/替代状态</x:v>
      </x:c>
      <x:c r="D8" s="4" t="str">
        <x:v>取得当前事实 → 固定观察边界 → 施加指定假设或延伸未来 → 逐候选推演 → 排除矛盾</x:v>
      </x:c>
      <x:c r="E8" s="4" t="str">
        <x:v>候选结论满足已知事实与干预约束；未使用预测目标之后的证据</x:v>
      </x:c>
      <x:c r="F8" s="4" t="str">
        <x:v>动作预测；物理/情境反事实；带假设的次数重算</x:v>
      </x:c>
      <x:c r="G8" s="4" t="str">
        <x:v>从完整视频问将按何顺序出现不是未来预测；稳定周期下一相位可R2</x:v>
      </x:c>
      <x:c r="H8" s="4" t="str">
        <x:v>P12</x:v>
      </x:c>
      <x:c r="I8" s="4" t="str">
        <x:v>MVBench Action Prediction/Counterfactual Inference；v2 Future/Counterfactual</x:v>
      </x:c>
      <x:c r="J8" s="4" t="str">
        <x:v>不强制重型世界模型；计数反事实可直接在事实账本上改变量并运算</x:v>
      </x:c>
    </x:row>
    <x:row r="9" ht="52" customHeight="1">
      <x:c r="A9" s="4" t="str">
        <x:v>R8</x:v>
      </x:c>
      <x:c r="B9" s="4" t="str">
        <x:v>视觉符号与约束求解</x:v>
      </x:c>
      <x:c r="C9" s="4" t="str">
        <x:v>视觉/文本变量、公式、约束、单位和可复算的计算记录</x:v>
      </x:c>
      <x:c r="D9" s="4" t="str">
        <x:v>读取证据 → 绑定变量与单位 → 构建约束 → 确定性计算/求解 → 代回验证 → 输出</x:v>
      </x:c>
      <x:c r="E9" s="4" t="str">
        <x:v>变量绑定、单位和结果回代均通过检查；模型不凭语言直觉替代可精确计算步骤</x:v>
      </x:c>
      <x:c r="F9" s="4" t="str">
        <x:v>数值计算；图形几何；价格/比例；公式关系；语义年代数值比较</x:v>
      </x:c>
      <x:c r="G9" s="4" t="str">
        <x:v>问专业常识不等于符号题；单纯读取一个数字仍R1</x:v>
      </x:c>
      <x:c r="H9" s="4" t="str">
        <x:v>P15中的符号求解；P20中需要算术的历史事实</x:v>
      </x:c>
      <x:c r="I9" s="4" t="str">
        <x:v>v2 Numerical Calculation/矩形面积；EgoLife EntityLog单杯价格</x:v>
      </x:c>
      <x:c r="J9" s="4" t="str">
        <x:v>必须标记输入变量证据来源；不偷用答案反推中间变量</x:v>
      </x:c>
    </x:row>
    <x:row r="10" ht="52" customHeight="1">
      <x:c r="A10" s="4" t="str">
        <x:v>R9</x:v>
      </x:c>
      <x:c r="B10" s="4" t="str">
        <x:v>空间场景建模与查询</x:v>
      </x:c>
      <x:c r="C10" s="4" t="str">
        <x:v>足够解题的局部场景关系/几何/拓扑表示及坐标参考系</x:v>
      </x:c>
      <x:c r="D10" s="4" t="str">
        <x:v>收集相关视角 → 绑定对象和参考系 → 构建最低必要空间表示 → 几何/方向/路线查询 → 一致性检查</x:v>
      </x:c>
      <x:c r="E10" s="4" t="str">
        <x:v>对象关系与参考系足够约束答案；尺度不足时标记估计，不伪装精确重建</x:v>
      </x:c>
      <x:c r="F10" s="4" t="str">
        <x:v>相对方向/距离；绝对尺度；房间面积；朝向更新；给定路线补转向</x:v>
      </x:c>
      <x:c r="G10" s="4" t="str">
        <x:v>直接同框左右可R1；全房间实例数主R4；类别首现顺序主R3</x:v>
      </x:c>
      <x:c r="H10" s="4" t="str">
        <x:v>P04；需计算的P17；P18；P19</x:v>
      </x:c>
      <x:c r="I10" s="4" t="str">
        <x:v>VSI六类空间任务；MVBench Egocentric Navigation；v2 Spatial Understanding</x:v>
      </x:c>
      <x:c r="J10" s="4" t="str">
        <x:v>不要求所有题跑完整SLAM；不给模型GT相机位姿、深度或mesh</x:v>
      </x:c>
    </x:row>
  </x:sheetData>
  <x:pageMargins left="0.7" right="0.7" top="0.75" bottom="0.75" header="0.3" footer="0.3"/>
  <x:tableParts count="1">
    <x:tablePart xmlns:r="http://schemas.openxmlformats.org/officeDocument/2006/relationships" r:id="Rc43ae2d242564a13"/>
  </x:tableParts>
</x:worksheet>
</file>

<file path=xl/worksheets/sheet3.xml><?xml version="1.0" encoding="utf-8"?>
<x:worksheet xmlns:x="http://schemas.openxmlformats.org/spreadsheetml/2006/main">
  <x:sheetFormatPr defaultRowHeight="15"/>
  <x:cols>
    <x:col min="1" max="1" width="34" hidden="0" customWidth="1"/>
    <x:col min="2" max="2" width="20" hidden="0" customWidth="1"/>
    <x:col min="3" max="3" width="34" hidden="0" customWidth="1"/>
    <x:col min="4" max="4" width="15" hidden="0" customWidth="1"/>
    <x:col min="5" max="5" width="14" hidden="0" customWidth="1"/>
    <x:col min="6" max="6" width="14" hidden="0" customWidth="1"/>
    <x:col min="7" max="7" width="21" hidden="0" customWidth="1"/>
    <x:col min="8" max="8" width="40" hidden="0" customWidth="1"/>
    <x:col min="9" max="9" width="34" hidden="0" customWidth="1"/>
    <x:col min="10" max="10" width="40" hidden="0" customWidth="1"/>
    <x:col min="11" max="11" width="35" hidden="0" customWidth="1"/>
    <x:col min="12" max="12" width="38" hidden="0" customWidth="1"/>
    <x:col min="13" max="13" width="38" hidden="0" customWidth="1"/>
    <x:col min="14" max="14" width="32" hidden="0" customWidth="1"/>
    <x:col min="15" max="15" width="38" hidden="0" customWidth="1"/>
  </x:cols>
  <x:sheetData>
    <x:row r="1" ht="42" customHeight="1">
      <x:c r="A1" s="10" t="str">
        <x:v>Source ID</x:v>
      </x:c>
      <x:c r="B1" s="10" t="str">
        <x:v>Benchmark</x:v>
      </x:c>
      <x:c r="C1" s="10" t="str">
        <x:v>原生题型（保留）</x:v>
      </x:c>
      <x:c r="D1" s="10" t="str">
        <x:v>旧P候选</x:v>
      </x:c>
      <x:c r="E1" s="10" t="str">
        <x:v>建议默认R（需子型）</x:v>
      </x:c>
      <x:c r="F1" s="10" t="str">
        <x:v>代表题建议R</x:v>
      </x:c>
      <x:c r="G1" s="10" t="str">
        <x:v>条件候选R</x:v>
      </x:c>
      <x:c r="H1" s="10" t="str">
        <x:v>执行子型与重新分类理由</x:v>
      </x:c>
      <x:c r="I1" s="10" t="str">
        <x:v>必须/可选组件</x:v>
      </x:c>
      <x:c r="J1" s="10" t="str">
        <x:v>代表题英文（原表）</x:v>
      </x:c>
      <x:c r="K1" s="10" t="str">
        <x:v>核对层级</x:v>
      </x:c>
      <x:c r="L1" s="10" t="str">
        <x:v>审阅状态</x:v>
      </x:c>
      <x:c r="M1" s="10" t="str">
        <x:v>论文URL</x:v>
      </x:c>
      <x:c r="N1" s="10" t="str">
        <x:v>章节/例题位置</x:v>
      </x:c>
      <x:c r="O1" s="10" t="str">
        <x:v>数据或项目URL</x:v>
      </x:c>
    </x:row>
    <x:row r="2" ht="52" customHeight="1">
      <x:c r="A2" s="4" t="str">
        <x:v>src.egolifeqa.entitylog</x:v>
      </x:c>
      <x:c r="B2" s="4" t="str">
        <x:v>EgoLifeQA</x:v>
      </x:c>
      <x:c r="C2" s="4" t="str">
        <x:v>EntityLog</x:v>
      </x:c>
      <x:c r="D2" s="4" t="str">
        <x:v>P20</x:v>
      </x:c>
      <x:c r="E2" s="14" t="str">
        <x:v>R1</x:v>
      </x:c>
      <x:c r="F2" s="14" t="str">
        <x:v>R8</x:v>
      </x:c>
      <x:c r="G2" s="4" t="str">
        <x:v>R1 | R8</x:v>
      </x:c>
      <x:c r="H2" s="4" t="str">
        <x:v>单价示例的证据是19.9元/6杯，需除法并匹配最近价格，不只是历史检索；直接问地点/价格明示值走R1。</x:v>
      </x:c>
      <x:c r="I2" s="4" t="str">
        <x:v>历史截止；身份；OCR/转写；单位/计算</x:v>
      </x:c>
      <x:c r="J2" s="4" t="str">
        <x:v>Which price is closest to what we paid for one yogurt?</x:v>
      </x:c>
      <x:c r="K2" s="4" t="str">
        <x:v>原论文例题/图表与工作簿题干对照；未观看完整视频</x:v>
      </x:c>
      <x:c r="L2" s="4" t="str">
        <x:v>论文定义级核对；代表题按工作簿题干分析；未逐题观看视频</x:v>
      </x:c>
      <x:c r="M2" s="4" t="str">
        <x:v>https://arxiv.org/html/2503.03803v2</x:v>
      </x:c>
      <x:c r="N2" s="4" t="str">
        <x:v>§3.5；Fig.5；§4.2</x:v>
      </x:c>
      <x:c r="O2" s="4" t="str">
        <x:v>https://github.com/evolvinglmms-lab/egolife</x:v>
      </x:c>
    </x:row>
    <x:row r="3" ht="52" customHeight="1">
      <x:c r="A3" s="4" t="str">
        <x:v>src.egolifeqa.eventrecall</x:v>
      </x:c>
      <x:c r="B3" s="4" t="str">
        <x:v>EgoLifeQA</x:v>
      </x:c>
      <x:c r="C3" s="4" t="str">
        <x:v>EventRecall</x:v>
      </x:c>
      <x:c r="D3" s="4" t="str">
        <x:v>P20</x:v>
      </x:c>
      <x:c r="E3" s="14" t="str">
        <x:v>R1</x:v>
      </x:c>
      <x:c r="F3" s="14" t="str">
        <x:v>R3</x:v>
      </x:c>
      <x:c r="G3" s="4" t="str">
        <x:v>R1 | R3</x:v>
      </x:c>
      <x:c r="H3" s="4" t="str">
        <x:v>回忆一个事实用R1；示例问计划跳舞之后首先提及哪首歌，需在锚点后的事件/话语序列选首个。</x:v>
      </x:c>
      <x:c r="I3" s="4" t="str">
        <x:v>历史截止；转写时间戳；锚点</x:v>
      </x:c>
      <x:c r="J3" s="4" t="str">
        <x:v>What was the first song mentioned after planning to dance?</x:v>
      </x:c>
      <x:c r="K3" s="4" t="str">
        <x:v>原论文例题/图表与工作簿题干对照；未观看完整视频</x:v>
      </x:c>
      <x:c r="L3" s="4" t="str">
        <x:v>论文定义级核对；代表题按工作簿题干分析；未逐题观看视频</x:v>
      </x:c>
      <x:c r="M3" s="4" t="str">
        <x:v>https://arxiv.org/html/2503.03803v2</x:v>
      </x:c>
      <x:c r="N3" s="4" t="str">
        <x:v>§3.5；Fig.5；§4.2</x:v>
      </x:c>
      <x:c r="O3" s="4" t="str">
        <x:v>https://github.com/evolvinglmms-lab/egolife</x:v>
      </x:c>
    </x:row>
    <x:row r="4" ht="46" customHeight="1">
      <x:c r="A4" s="4" t="str">
        <x:v>src.egolifeqa.habitinsight</x:v>
      </x:c>
      <x:c r="B4" s="4" t="str">
        <x:v>EgoLifeQA</x:v>
      </x:c>
      <x:c r="C4" s="4" t="str">
        <x:v>HabitInsight</x:v>
      </x:c>
      <x:c r="D4" s="4" t="str">
        <x:v>P20</x:v>
      </x:c>
      <x:c r="E4" s="14" t="str">
        <x:v>R3</x:v>
      </x:c>
      <x:c r="F4" s="14" t="str">
        <x:v>R3</x:v>
      </x:c>
      <x:c r="G4" s="4" t="str">
        <x:v>R3 | R6</x:v>
      </x:c>
      <x:c r="H4" s="4" t="str">
        <x:v>示例按多次喝咖啡事件统计伴随活动，而非一次检索或摘要；解释习惯原因才走R6。</x:v>
      </x:c>
      <x:c r="I4" s="4" t="str">
        <x:v>历史截止；episode去重；条件频率；身份</x:v>
      </x:c>
      <x:c r="J4" s="4" t="str">
        <x:v>What activity do I usually do while drinking coffee?</x:v>
      </x:c>
      <x:c r="K4" s="4" t="str">
        <x:v>原论文例题/图表与工作簿题干对照；未观看完整视频</x:v>
      </x:c>
      <x:c r="L4" s="4" t="str">
        <x:v>论文定义级核对；代表题按工作簿题干分析；未逐题观看视频</x:v>
      </x:c>
      <x:c r="M4" s="4" t="str">
        <x:v>https://arxiv.org/html/2503.03803v2</x:v>
      </x:c>
      <x:c r="N4" s="4" t="str">
        <x:v>§3.5；Fig.5；§4.2</x:v>
      </x:c>
      <x:c r="O4" s="4" t="str">
        <x:v>https://github.com/evolvinglmms-lab/egolife</x:v>
      </x:c>
    </x:row>
    <x:row r="5" ht="52" customHeight="1">
      <x:c r="A5" s="4" t="str">
        <x:v>src.egolifeqa.relationmap</x:v>
      </x:c>
      <x:c r="B5" s="4" t="str">
        <x:v>EgoLifeQA</x:v>
      </x:c>
      <x:c r="C5" s="4" t="str">
        <x:v>RelationMap</x:v>
      </x:c>
      <x:c r="D5" s="4" t="str">
        <x:v>P11 | P20</x:v>
      </x:c>
      <x:c r="E5" s="14" t="str">
        <x:v>R3</x:v>
      </x:c>
      <x:c r="F5" s="14" t="str">
        <x:v>R3</x:v>
      </x:c>
      <x:c r="G5" s="4" t="str">
        <x:v>R1 | R3 | R6</x:v>
      </x:c>
      <x:c r="H5" s="4" t="str">
        <x:v>Fig.5以共同弹吉他的频次比较人物；人际统计不等同社会心理推理。明示身份R1，频次R3，隐含关系R6。</x:v>
      </x:c>
      <x:c r="I5" s="4" t="str">
        <x:v>历史截止；身份对齐；共现统计</x:v>
      </x:c>
      <x:c r="J5" s="4" t="str">
        <x:v>Shure is playing the guitar now. Who else usually joins us playing guitar together?</x:v>
      </x:c>
      <x:c r="K5" s="4" t="str">
        <x:v>原论文例题/图表与工作簿题干对照；未观看完整视频</x:v>
      </x:c>
      <x:c r="L5" s="4" t="str">
        <x:v>论文定义级核对；代表题按工作簿题干分析；未逐题观看视频</x:v>
      </x:c>
      <x:c r="M5" s="4" t="str">
        <x:v>https://arxiv.org/html/2503.03803v2</x:v>
      </x:c>
      <x:c r="N5" s="4" t="str">
        <x:v>§3.5；Fig.5；§4.2</x:v>
      </x:c>
      <x:c r="O5" s="4" t="str">
        <x:v>https://github.com/evolvinglmms-lab/egolife</x:v>
      </x:c>
    </x:row>
    <x:row r="6" ht="52" customHeight="1">
      <x:c r="A6" s="4" t="str">
        <x:v>src.egolifeqa.taskmaster</x:v>
      </x:c>
      <x:c r="B6" s="4" t="str">
        <x:v>EgoLifeQA</x:v>
      </x:c>
      <x:c r="C6" s="4" t="str">
        <x:v>TaskMaster</x:v>
      </x:c>
      <x:c r="D6" s="4" t="str">
        <x:v>P20</x:v>
      </x:c>
      <x:c r="E6" s="14" t="str">
        <x:v>R4</x:v>
      </x:c>
      <x:c r="F6" s="14" t="str">
        <x:v>R4</x:v>
      </x:c>
      <x:c r="G6" s="4" t="str">
        <x:v>R4 | R6 | R7</x:v>
      </x:c>
      <x:c r="H6" s="4" t="str">
        <x:v>购物示例为计划清单减已购清单；任务规则/优先级解释用R6，真正未发生后果推演用R7。</x:v>
      </x:c>
      <x:c r="I6" s="4" t="str">
        <x:v>历史截止；清单规范化；差集</x:v>
      </x:c>
      <x:c r="J6" s="4" t="str">
        <x:v>Many things are in my cart already. What items that we previously discussed have I not bought yet?</x:v>
      </x:c>
      <x:c r="K6" s="4" t="str">
        <x:v>原论文例题/图表与工作簿题干对照；未观看完整视频</x:v>
      </x:c>
      <x:c r="L6" s="4" t="str">
        <x:v>论文定义级核对；代表题按工作簿题干分析；未逐题观看视频</x:v>
      </x:c>
      <x:c r="M6" s="4" t="str">
        <x:v>https://arxiv.org/html/2503.03803v2</x:v>
      </x:c>
      <x:c r="N6" s="4" t="str">
        <x:v>§3.5；Fig.5；§4.2</x:v>
      </x:c>
      <x:c r="O6" s="4" t="str">
        <x:v>https://github.com/evolvinglmms-lab/egolife</x:v>
      </x:c>
    </x:row>
    <x:row r="7" ht="52" customHeight="1">
      <x:c r="A7" s="4" t="str">
        <x:v>src.egoschema.long_form_video_qa</x:v>
      </x:c>
      <x:c r="B7" s="4" t="str">
        <x:v>EgoSchema</x:v>
      </x:c>
      <x:c r="C7" s="4" t="str">
        <x:v>Long-form Video QA</x:v>
      </x:c>
      <x:c r="D7" s="4" t="str">
        <x:v>P09 | P10 | P11</x:v>
      </x:c>
      <x:c r="E7" s="14" t="str">
        <x:v>R5</x:v>
      </x:c>
      <x:c r="F7" s="14" t="str">
        <x:v>R5</x:v>
      </x:c>
      <x:c r="G7" s="4" t="str">
        <x:v>R5 | R6</x:v>
      </x:c>
      <x:c r="H7" s="4" t="str">
        <x:v>原论文行为概括例题需要跨片段覆盖；隐含动机/社交解释走R6。长视频本身不是独立稀疏检索类。</x:v>
      </x:c>
      <x:c r="I7" s="4" t="str">
        <x:v>全时段覆盖；实体共指</x:v>
      </x:c>
      <x:c r="J7" s="4" t="str">
        <x:v>What is the overarching behavior of C and the man in the video?</x:v>
      </x:c>
      <x:c r="K7" s="4" t="str">
        <x:v>已核对论文原生定义/模板；代表题沿用用户表，未逐条核对原始视频</x:v>
      </x:c>
      <x:c r="L7" s="4" t="str">
        <x:v>论文定义级核对；代表题按工作簿题干分析；未逐题观看视频</x:v>
      </x:c>
      <x:c r="M7" s="4" t="str">
        <x:v>https://arxiv.org/pdf/2308.09126</x:v>
      </x:c>
      <x:c r="N7" s="4" t="str">
        <x:v>§1；Fig.1；§3.2 temporal certificate</x:v>
      </x:c>
      <x:c r="O7" s="4" t="str">
        <x:v>https://egoschema.github.io/</x:v>
      </x:c>
    </x:row>
    <x:row r="8" ht="52" customHeight="1">
      <x:c r="A8" s="4" t="str">
        <x:v>src.longvideobench.e3e</x:v>
      </x:c>
      <x:c r="B8" s="4" t="str">
        <x:v>LongVideoBench</x:v>
      </x:c>
      <x:c r="C8" s="4" t="str">
        <x:v>Event before/after Event</x:v>
      </x:c>
      <x:c r="D8" s="4" t="str">
        <x:v>P06</x:v>
      </x:c>
      <x:c r="E8" s="14" t="str">
        <x:v>R3</x:v>
      </x:c>
      <x:c r="F8" s="14" t="str">
        <x:v>R3</x:v>
      </x:c>
      <x:c r="G8" s="4" t="str">
        <x:v>R1 | R3</x:v>
      </x:c>
      <x:c r="H8" s="4" t="str">
        <x:v>锚定事件后找紧接动作；主任务是时间邻接，不是新增锚点大类。</x:v>
      </x:c>
      <x:c r="I8" s="4" t="str">
        <x:v>锚点；时间排序；字幕/OCR按协议</x:v>
      </x:c>
      <x:c r="J8" s="4" t="str">
        <x:v>A long-haired woman is leaning against the curtain. What action does she do afterward?</x:v>
      </x:c>
      <x:c r="K8" s="4" t="str">
        <x:v>已核对论文原生定义/模板；代表题沿用用户表，未逐条核对原始视频</x:v>
      </x:c>
      <x:c r="L8" s="4" t="str">
        <x:v>论文定义级核对；代表题按工作簿题干分析；未逐题观看视频</x:v>
      </x:c>
      <x:c r="M8" s="4" t="str">
        <x:v>https://arxiv.org/pdf/2407.15754</x:v>
      </x:c>
      <x:c r="N8" s="4" t="str">
        <x:v>§3；Fig.2；Table 2</x:v>
      </x:c>
      <x:c r="O8" s="4" t="str">
        <x:v>https://huggingface.co/datasets/longvideobench/LongVideoBench</x:v>
      </x:c>
    </x:row>
    <x:row r="9" ht="66" customHeight="1">
      <x:c r="A9" s="4" t="str">
        <x:v>src.longvideobench.t3e</x:v>
      </x:c>
      <x:c r="B9" s="4" t="str">
        <x:v>LongVideoBench</x:v>
      </x:c>
      <x:c r="C9" s="4" t="str">
        <x:v>Event before/after Text</x:v>
      </x:c>
      <x:c r="D9" s="4" t="str">
        <x:v>P06</x:v>
      </x:c>
      <x:c r="E9" s="14" t="str">
        <x:v>R3</x:v>
      </x:c>
      <x:c r="F9" s="14" t="str">
        <x:v>R3</x:v>
      </x:c>
      <x:c r="G9" s="4" t="str">
        <x:v>R1 | R3</x:v>
      </x:c>
      <x:c r="H9" s="4" t="str">
        <x:v>字幕/说话事件为锚点，检索其之前事件，保留事件边界。</x:v>
      </x:c>
      <x:c r="I9" s="4" t="str">
        <x:v>锚点；时间排序；字幕/OCR按协议</x:v>
      </x:c>
      <x:c r="J9" s="4" t="str">
        <x:v>What happened before a man in black armor and glasses spoke into a microphone with the subtitle 'country uh so we've seen significant'?</x:v>
      </x:c>
      <x:c r="K9" s="4" t="str">
        <x:v>已核对论文原生定义/模板；代表题沿用用户表，未逐条核对原始视频</x:v>
      </x:c>
      <x:c r="L9" s="4" t="str">
        <x:v>论文定义级核对；代表题按工作簿题干分析；未逐题观看视频</x:v>
      </x:c>
      <x:c r="M9" s="4" t="str">
        <x:v>https://arxiv.org/pdf/2407.15754</x:v>
      </x:c>
      <x:c r="N9" s="4" t="str">
        <x:v>§3；Fig.2；Table 2</x:v>
      </x:c>
      <x:c r="O9" s="4" t="str">
        <x:v>https://huggingface.co/datasets/longvideobench/LongVideoBench</x:v>
      </x:c>
    </x:row>
    <x:row r="10" ht="52" customHeight="1">
      <x:c r="A10" s="4" t="str">
        <x:v>src.longvideobench.e2o</x:v>
      </x:c>
      <x:c r="B10" s="4" t="str">
        <x:v>LongVideoBench</x:v>
      </x:c>
      <x:c r="C10" s="4" t="str">
        <x:v>Event-referred Object</x:v>
      </x:c>
      <x:c r="D10" s="4" t="str">
        <x:v>P06</x:v>
      </x:c>
      <x:c r="E10" s="14" t="str">
        <x:v>R1</x:v>
      </x:c>
      <x:c r="F10" s="14" t="str">
        <x:v>R1</x:v>
      </x:c>
      <x:c r="G10" s="4" t="str">
        <x:v>R1</x:v>
      </x:c>
      <x:c r="H10" s="4" t="str">
        <x:v>事件描述定位后认人，不需独立锚点pipeline。</x:v>
      </x:c>
      <x:c r="I10" s="4" t="str">
        <x:v>锚点检索；字幕/视觉时间对齐；必要时重识别</x:v>
      </x:c>
      <x:c r="J10" s="4" t="str">
        <x:v>Who is the person standing in front of the wall with several rectangular maps, talking to the camera?</x:v>
      </x:c>
      <x:c r="K10" s="4" t="str">
        <x:v>已核对论文原生定义/模板；代表题沿用用户表，未逐条核对原始视频</x:v>
      </x:c>
      <x:c r="L10" s="4" t="str">
        <x:v>论文定义级核对；代表题按工作簿题干分析；未逐题观看视频</x:v>
      </x:c>
      <x:c r="M10" s="4" t="str">
        <x:v>https://arxiv.org/pdf/2407.15754</x:v>
      </x:c>
      <x:c r="N10" s="4" t="str">
        <x:v>§3；Fig.2；Table 2</x:v>
      </x:c>
      <x:c r="O10" s="4" t="str">
        <x:v>https://huggingface.co/datasets/longvideobench/LongVideoBench</x:v>
      </x:c>
    </x:row>
    <x:row r="11" ht="52" customHeight="1">
      <x:c r="A11" s="4" t="str">
        <x:v>src.longvideobench.o3o</x:v>
      </x:c>
      <x:c r="B11" s="4" t="str">
        <x:v>LongVideoBench</x:v>
      </x:c>
      <x:c r="C11" s="4" t="str">
        <x:v>Object before/after Object</x:v>
      </x:c>
      <x:c r="D11" s="4" t="str">
        <x:v>P06</x:v>
      </x:c>
      <x:c r="E11" s="14" t="str">
        <x:v>R3</x:v>
      </x:c>
      <x:c r="F11" s="14" t="str">
        <x:v>R3</x:v>
      </x:c>
      <x:c r="G11" s="4" t="str">
        <x:v>R1 | R3</x:v>
      </x:c>
      <x:c r="H11" s="4" t="str">
        <x:v>first after要求按时间选首个概念；内容定位与时序选择分开。</x:v>
      </x:c>
      <x:c r="I11" s="4" t="str">
        <x:v>锚点；时间排序；字幕/OCR按协议</x:v>
      </x:c>
      <x:c r="J11" s="4" t="str">
        <x:v>What is the first concept mentioned after the man in a black shirt and cap talks about evolution?</x:v>
      </x:c>
      <x:c r="K11" s="4" t="str">
        <x:v>已核对论文原生定义/模板；代表题沿用用户表，未逐条核对原始视频</x:v>
      </x:c>
      <x:c r="L11" s="4" t="str">
        <x:v>论文定义级核对；代表题按工作簿题干分析；未逐题观看视频</x:v>
      </x:c>
      <x:c r="M11" s="4" t="str">
        <x:v>https://arxiv.org/pdf/2407.15754</x:v>
      </x:c>
      <x:c r="N11" s="4" t="str">
        <x:v>§3；Fig.2；Table 2</x:v>
      </x:c>
      <x:c r="O11" s="4" t="str">
        <x:v>https://huggingface.co/datasets/longvideobench/LongVideoBench</x:v>
      </x:c>
    </x:row>
    <x:row r="12" ht="66" customHeight="1">
      <x:c r="A12" s="4" t="str">
        <x:v>src.longvideobench.t3o</x:v>
      </x:c>
      <x:c r="B12" s="4" t="str">
        <x:v>LongVideoBench</x:v>
      </x:c>
      <x:c r="C12" s="4" t="str">
        <x:v>Object before/after Text</x:v>
      </x:c>
      <x:c r="D12" s="4" t="str">
        <x:v>P06</x:v>
      </x:c>
      <x:c r="E12" s="14" t="str">
        <x:v>R3</x:v>
      </x:c>
      <x:c r="F12" s="14" t="str">
        <x:v>R3</x:v>
      </x:c>
      <x:c r="G12" s="4" t="str">
        <x:v>R1 | R3</x:v>
      </x:c>
      <x:c r="H12" s="4" t="str">
        <x:v>字幕时间后出现的人物需要时间关系选择。</x:v>
      </x:c>
      <x:c r="I12" s="4" t="str">
        <x:v>锚点；时间排序；字幕/OCR按协议</x:v>
      </x:c>
      <x:c r="J12" s="4" t="str">
        <x:v>In a picture with a microscope, after the subtitle 'After completing a study about prehistoric insects' appears, what person appears?</x:v>
      </x:c>
      <x:c r="K12" s="4" t="str">
        <x:v>已核对论文原生定义/模板；代表题沿用用户表，未逐条核对原始视频</x:v>
      </x:c>
      <x:c r="L12" s="4" t="str">
        <x:v>论文定义级核对；代表题按工作簿题干分析；未逐题观看视频</x:v>
      </x:c>
      <x:c r="M12" s="4" t="str">
        <x:v>https://arxiv.org/pdf/2407.15754</x:v>
      </x:c>
      <x:c r="N12" s="4" t="str">
        <x:v>§3；Fig.2；Table 2</x:v>
      </x:c>
      <x:c r="O12" s="4" t="str">
        <x:v>https://huggingface.co/datasets/longvideobench/LongVideoBench</x:v>
      </x:c>
    </x:row>
    <x:row r="13" ht="80" customHeight="1">
      <x:c r="A13" s="4" t="str">
        <x:v>src.longvideobench.o2e</x:v>
      </x:c>
      <x:c r="B13" s="4" t="str">
        <x:v>LongVideoBench</x:v>
      </x:c>
      <x:c r="C13" s="4" t="str">
        <x:v>Object-referred Event</x:v>
      </x:c>
      <x:c r="D13" s="4" t="str">
        <x:v>P06</x:v>
      </x:c>
      <x:c r="E13" s="14" t="str">
        <x:v>R1</x:v>
      </x:c>
      <x:c r="F13" s="14" t="str">
        <x:v>R1</x:v>
      </x:c>
      <x:c r="G13" s="4" t="str">
        <x:v>R1</x:v>
      </x:c>
      <x:c r="H13" s="4" t="str">
        <x:v>由物体/场景线索定位，然后读取该时刻事件。</x:v>
      </x:c>
      <x:c r="I13" s="4" t="str">
        <x:v>锚点检索；字幕/视觉时间对齐；必要时重识别</x:v>
      </x:c>
      <x:c r="J13" s="4" t="str">
        <x:v>On flat ground there is a brick-wall building, a car with an open trunk, and a police officer with a police dog. What happened when the police dog appeared?</x:v>
      </x:c>
      <x:c r="K13" s="4" t="str">
        <x:v>已核对论文原生定义/模板；代表题沿用用户表，未逐条核对原始视频</x:v>
      </x:c>
      <x:c r="L13" s="4" t="str">
        <x:v>论文定义级核对；代表题按工作簿题干分析；未逐题观看视频</x:v>
      </x:c>
      <x:c r="M13" s="4" t="str">
        <x:v>https://arxiv.org/pdf/2407.15754</x:v>
      </x:c>
      <x:c r="N13" s="4" t="str">
        <x:v>§3；Fig.2；Table 2</x:v>
      </x:c>
      <x:c r="O13" s="4" t="str">
        <x:v>https://huggingface.co/datasets/longvideobench/LongVideoBench</x:v>
      </x:c>
    </x:row>
    <x:row r="14" ht="94" customHeight="1">
      <x:c r="A14" s="4" t="str">
        <x:v>src.longvideobench.s2e</x:v>
      </x:c>
      <x:c r="B14" s="4" t="str">
        <x:v>LongVideoBench</x:v>
      </x:c>
      <x:c r="C14" s="4" t="str">
        <x:v>Scene-referred Event</x:v>
      </x:c>
      <x:c r="D14" s="4" t="str">
        <x:v>P06</x:v>
      </x:c>
      <x:c r="E14" s="14" t="str">
        <x:v>R1</x:v>
      </x:c>
      <x:c r="F14" s="14" t="str">
        <x:v>R1</x:v>
      </x:c>
      <x:c r="G14" s="4" t="str">
        <x:v>R1</x:v>
      </x:c>
      <x:c r="H14" s="4" t="str">
        <x:v>场景/OCR作为检索条件；目标是一个可观察动作。</x:v>
      </x:c>
      <x:c r="I14" s="4" t="str">
        <x:v>锚点检索；字幕/视觉时间对齐；必要时重识别</x:v>
      </x:c>
      <x:c r="J14" s="4" t="str">
        <x:v>In the scene where the words 'wanna make a meaningful connection' are written at the top left, a man with long curly hair wears a black outfit with a white heart pattern. What is this man doing?</x:v>
      </x:c>
      <x:c r="K14" s="4" t="str">
        <x:v>已核对论文原生定义/模板；代表题沿用用户表，未逐条核对原始视频</x:v>
      </x:c>
      <x:c r="L14" s="4" t="str">
        <x:v>论文定义级核对；代表题按工作簿题干分析；未逐题观看视频</x:v>
      </x:c>
      <x:c r="M14" s="4" t="str">
        <x:v>https://arxiv.org/pdf/2407.15754</x:v>
      </x:c>
      <x:c r="N14" s="4" t="str">
        <x:v>§3；Fig.2；Table 2</x:v>
      </x:c>
      <x:c r="O14" s="4" t="str">
        <x:v>https://huggingface.co/datasets/longvideobench/LongVideoBench</x:v>
      </x:c>
    </x:row>
    <x:row r="15" ht="66" customHeight="1">
      <x:c r="A15" s="4" t="str">
        <x:v>src.longvideobench.s2a</x:v>
      </x:c>
      <x:c r="B15" s="4" t="str">
        <x:v>LongVideoBench</x:v>
      </x:c>
      <x:c r="C15" s="4" t="str">
        <x:v>Scene-referred Object Attribute</x:v>
      </x:c>
      <x:c r="D15" s="4" t="str">
        <x:v>P06</x:v>
      </x:c>
      <x:c r="E15" s="14" t="str">
        <x:v>R1</x:v>
      </x:c>
      <x:c r="F15" s="14" t="str">
        <x:v>R1</x:v>
      </x:c>
      <x:c r="G15" s="4" t="str">
        <x:v>R1</x:v>
      </x:c>
      <x:c r="H15" s="4" t="str">
        <x:v>在指定场景读取属性；不是空间计算。</x:v>
      </x:c>
      <x:c r="I15" s="4" t="str">
        <x:v>锚点检索；字幕/视觉时间对齐；必要时重识别</x:v>
      </x:c>
      <x:c r="J15" s="4" t="str">
        <x:v>In the oil painting, men discuss at the back left; at front right women stir liquid in a bucket. What color is the liquid inside the bucket?</x:v>
      </x:c>
      <x:c r="K15" s="4" t="str">
        <x:v>已核对论文原生定义/模板；代表题沿用用户表，未逐条核对原始视频</x:v>
      </x:c>
      <x:c r="L15" s="4" t="str">
        <x:v>论文定义级核对；代表题按工作簿题干分析；未逐题观看视频</x:v>
      </x:c>
      <x:c r="M15" s="4" t="str">
        <x:v>https://arxiv.org/pdf/2407.15754</x:v>
      </x:c>
      <x:c r="N15" s="4" t="str">
        <x:v>§3；Fig.2；Table 2</x:v>
      </x:c>
      <x:c r="O15" s="4" t="str">
        <x:v>https://huggingface.co/datasets/longvideobench/LongVideoBench</x:v>
      </x:c>
    </x:row>
    <x:row r="16" ht="66" customHeight="1">
      <x:c r="A16" s="4" t="str">
        <x:v>src.longvideobench.saa</x:v>
      </x:c>
      <x:c r="B16" s="4" t="str">
        <x:v>LongVideoBench</x:v>
      </x:c>
      <x:c r="C16" s="4" t="str">
        <x:v>Scene-referred Object Attribute Change</x:v>
      </x:c>
      <x:c r="D16" s="4" t="str">
        <x:v>P06</x:v>
      </x:c>
      <x:c r="E16" s="14" t="str">
        <x:v>R2</x:v>
      </x:c>
      <x:c r="F16" s="14" t="str">
        <x:v>R2</x:v>
      </x:c>
      <x:c r="G16" s="4" t="str">
        <x:v>R2</x:v>
      </x:c>
      <x:c r="H16" s="4" t="str">
        <x:v>同一对象跨场景属性变化：可以只比两个证据窗口，不强制逐帧密集追踪。</x:v>
      </x:c>
      <x:c r="I16" s="4" t="str">
        <x:v>锚点；实体对齐；端点/邻帧比较</x:v>
      </x:c>
      <x:c r="J16" s="4" t="str">
        <x:v>A woman in purple sits against a white wall while explaining a formula and later summarizes the video. How does the wall color change?</x:v>
      </x:c>
      <x:c r="K16" s="4" t="str">
        <x:v>已核对论文原生定义/模板；代表题沿用用户表，未逐条核对原始视频</x:v>
      </x:c>
      <x:c r="L16" s="4" t="str">
        <x:v>论文定义级核对；代表题按工作簿题干分析；未逐题观看视频</x:v>
      </x:c>
      <x:c r="M16" s="4" t="str">
        <x:v>https://arxiv.org/pdf/2407.15754</x:v>
      </x:c>
      <x:c r="N16" s="4" t="str">
        <x:v>§3；Fig.2；Table 2</x:v>
      </x:c>
      <x:c r="O16" s="4" t="str">
        <x:v>https://huggingface.co/datasets/longvideobench/LongVideoBench</x:v>
      </x:c>
    </x:row>
    <x:row r="17" ht="80" customHeight="1">
      <x:c r="A17" s="4" t="str">
        <x:v>src.longvideobench.s2o</x:v>
      </x:c>
      <x:c r="B17" s="4" t="str">
        <x:v>LongVideoBench</x:v>
      </x:c>
      <x:c r="C17" s="4" t="str">
        <x:v>Scene-referred Object Existence</x:v>
      </x:c>
      <x:c r="D17" s="4" t="str">
        <x:v>P08</x:v>
      </x:c>
      <x:c r="E17" s="14" t="str">
        <x:v>R4</x:v>
      </x:c>
      <x:c r="F17" s="14" t="str">
        <x:v>R4</x:v>
      </x:c>
      <x:c r="G17" s="4" t="str">
        <x:v>R4</x:v>
      </x:c>
      <x:c r="H17" s="4" t="str">
        <x:v>did not appear的覆盖范围是题目限定的红桌场景；不是无条件扫描全视频。</x:v>
      </x:c>
      <x:c r="I17" s="4" t="str">
        <x:v>范围约束；候选清单；负证据</x:v>
      </x:c>
      <x:c r="J17" s="4" t="str">
        <x:v>On the red wooden table there is an iron grid rack with a glass bowl containing four rolls of food, and a brush covered with yellow liquid decorating them. Which object did not appear?</x:v>
      </x:c>
      <x:c r="K17" s="4" t="str">
        <x:v>已核对论文原生定义/模板；代表题沿用用户表，未逐条核对原始视频</x:v>
      </x:c>
      <x:c r="L17" s="4" t="str">
        <x:v>论文定义级核对；代表题按工作簿题干分析；未逐题观看视频</x:v>
      </x:c>
      <x:c r="M17" s="4" t="str">
        <x:v>https://arxiv.org/pdf/2407.15754</x:v>
      </x:c>
      <x:c r="N17" s="4" t="str">
        <x:v>§3；Fig.2；Table 2</x:v>
      </x:c>
      <x:c r="O17" s="4" t="str">
        <x:v>https://huggingface.co/datasets/longvideobench/LongVideoBench</x:v>
      </x:c>
    </x:row>
    <x:row r="18" ht="52" customHeight="1">
      <x:c r="A18" s="4" t="str">
        <x:v>src.longvideobench.sos</x:v>
      </x:c>
      <x:c r="B18" s="4" t="str">
        <x:v>LongVideoBench</x:v>
      </x:c>
      <x:c r="C18" s="4" t="str">
        <x:v>Scene-referred Object Tracking</x:v>
      </x:c>
      <x:c r="D18" s="4" t="str">
        <x:v>P02</x:v>
      </x:c>
      <x:c r="E18" s="14" t="str">
        <x:v>R1</x:v>
      </x:c>
      <x:c r="F18" s="14" t="str">
        <x:v>R1</x:v>
      </x:c>
      <x:c r="G18" s="4" t="str">
        <x:v>R1 | R2</x:v>
      </x:c>
      <x:c r="H18" s="4" t="str">
        <x:v>示例跨场景重识别同一飞机；离散候选片段检索即可，遮挡连续身份传播才需要R2。</x:v>
      </x:c>
      <x:c r="I18" s="4" t="str">
        <x:v>锚点检索；字幕/视觉时间对齐；必要时重识别</x:v>
      </x:c>
      <x:c r="J18" s="4" t="str">
        <x:v>An airplane trails black smoke under a blue sky with mountains. In which scene has this airplane appeared before?</x:v>
      </x:c>
      <x:c r="K18" s="4" t="str">
        <x:v>已核对论文原生定义/模板；代表题沿用用户表，未逐条核对原始视频</x:v>
      </x:c>
      <x:c r="L18" s="4" t="str">
        <x:v>论文定义级核对；代表题按工作簿题干分析；未逐题观看视频</x:v>
      </x:c>
      <x:c r="M18" s="4" t="str">
        <x:v>https://arxiv.org/pdf/2407.15754</x:v>
      </x:c>
      <x:c r="N18" s="4" t="str">
        <x:v>§3；Fig.2；Table 2</x:v>
      </x:c>
      <x:c r="O18" s="4" t="str">
        <x:v>https://huggingface.co/datasets/longvideobench/LongVideoBench</x:v>
      </x:c>
    </x:row>
    <x:row r="19" ht="46" customHeight="1">
      <x:c r="A19" s="4" t="str">
        <x:v>src.longvideobench.sss</x:v>
      </x:c>
      <x:c r="B19" s="4" t="str">
        <x:v>LongVideoBench</x:v>
      </x:c>
      <x:c r="C19" s="4" t="str">
        <x:v>Sequence of Scenes</x:v>
      </x:c>
      <x:c r="D19" s="4" t="str">
        <x:v>P07</x:v>
      </x:c>
      <x:c r="E19" s="14" t="str">
        <x:v>R3</x:v>
      </x:c>
      <x:c r="F19" s="14" t="str">
        <x:v>R3</x:v>
      </x:c>
      <x:c r="G19" s="4" t="str">
        <x:v>R1 | R3</x:v>
      </x:c>
      <x:c r="H19" s="4" t="str">
        <x:v>为场景建立时间索引，再比较顺序。</x:v>
      </x:c>
      <x:c r="I19" s="4" t="str">
        <x:v>锚点；时间排序；字幕/OCR按协议</x:v>
      </x:c>
      <x:c r="J19" s="4" t="str">
        <x:v>Which sequence of scenes is correct?</x:v>
      </x:c>
      <x:c r="K19" s="4" t="str">
        <x:v>已核对论文原生定义/模板；代表题沿用用户表，未逐条核对原始视频</x:v>
      </x:c>
      <x:c r="L19" s="4" t="str">
        <x:v>论文定义级核对；代表题按工作簿题干分析；未逐题观看视频</x:v>
      </x:c>
      <x:c r="M19" s="4" t="str">
        <x:v>https://arxiv.org/pdf/2407.15754</x:v>
      </x:c>
      <x:c r="N19" s="4" t="str">
        <x:v>§3；Fig.2；Table 2</x:v>
      </x:c>
      <x:c r="O19" s="4" t="str">
        <x:v>https://huggingface.co/datasets/longvideobench/LongVideoBench</x:v>
      </x:c>
    </x:row>
    <x:row r="20" ht="66" customHeight="1">
      <x:c r="A20" s="4" t="str">
        <x:v>src.longvideobench.t2e</x:v>
      </x:c>
      <x:c r="B20" s="4" t="str">
        <x:v>LongVideoBench</x:v>
      </x:c>
      <x:c r="C20" s="4" t="str">
        <x:v>Text-referred Event</x:v>
      </x:c>
      <x:c r="D20" s="4" t="str">
        <x:v>P06</x:v>
      </x:c>
      <x:c r="E20" s="14" t="str">
        <x:v>R1</x:v>
      </x:c>
      <x:c r="F20" s="14" t="str">
        <x:v>R1</x:v>
      </x:c>
      <x:c r="G20" s="4" t="str">
        <x:v>R1</x:v>
      </x:c>
      <x:c r="H20" s="4" t="str">
        <x:v>字幕定位后查看同步事件。</x:v>
      </x:c>
      <x:c r="I20" s="4" t="str">
        <x:v>锚点检索；字幕/视觉时间对齐；必要时重识别</x:v>
      </x:c>
      <x:c r="J20" s="4" t="str">
        <x:v>What did the Yoda baby with big black eyes do when the subtitle said, 'to obtain any information about the Yoda baby's owner'?</x:v>
      </x:c>
      <x:c r="K20" s="4" t="str">
        <x:v>已核对论文原生定义/模板；代表题沿用用户表，未逐条核对原始视频</x:v>
      </x:c>
      <x:c r="L20" s="4" t="str">
        <x:v>论文定义级核对；代表题按工作簿题干分析；未逐题观看视频</x:v>
      </x:c>
      <x:c r="M20" s="4" t="str">
        <x:v>https://arxiv.org/pdf/2407.15754</x:v>
      </x:c>
      <x:c r="N20" s="4" t="str">
        <x:v>§3；Fig.2；Table 2</x:v>
      </x:c>
      <x:c r="O20" s="4" t="str">
        <x:v>https://huggingface.co/datasets/longvideobench/LongVideoBench</x:v>
      </x:c>
    </x:row>
    <x:row r="21" ht="66" customHeight="1">
      <x:c r="A21" s="4" t="str">
        <x:v>src.longvideobench.t2o</x:v>
      </x:c>
      <x:c r="B21" s="4" t="str">
        <x:v>LongVideoBench</x:v>
      </x:c>
      <x:c r="C21" s="4" t="str">
        <x:v>Text-referred Object</x:v>
      </x:c>
      <x:c r="D21" s="4" t="str">
        <x:v>P06</x:v>
      </x:c>
      <x:c r="E21" s="14" t="str">
        <x:v>R1</x:v>
      </x:c>
      <x:c r="F21" s="14" t="str">
        <x:v>R1</x:v>
      </x:c>
      <x:c r="G21" s="4" t="str">
        <x:v>R1</x:v>
      </x:c>
      <x:c r="H21" s="4" t="str">
        <x:v>字幕定位后识别同期物体。</x:v>
      </x:c>
      <x:c r="I21" s="4" t="str">
        <x:v>锚点检索；字幕/视觉时间对齐；必要时重识别</x:v>
      </x:c>
      <x:c r="J21" s="4" t="str">
        <x:v>In a room with instruments and control panels, when the subtitle 'think you'll see this technology be used' appears, what object is present?</x:v>
      </x:c>
      <x:c r="K21" s="4" t="str">
        <x:v>已核对论文原生定义/模板；代表题沿用用户表，未逐条核对原始视频</x:v>
      </x:c>
      <x:c r="L21" s="4" t="str">
        <x:v>论文定义级核对；代表题按工作簿题干分析；未逐题观看视频</x:v>
      </x:c>
      <x:c r="M21" s="4" t="str">
        <x:v>https://arxiv.org/pdf/2407.15754</x:v>
      </x:c>
      <x:c r="N21" s="4" t="str">
        <x:v>§3；Fig.2；Table 2</x:v>
      </x:c>
      <x:c r="O21" s="4" t="str">
        <x:v>https://huggingface.co/datasets/longvideobench/LongVideoBench</x:v>
      </x:c>
    </x:row>
    <x:row r="22" ht="80" customHeight="1">
      <x:c r="A22" s="4" t="str">
        <x:v>src.longvideobench.t2a</x:v>
      </x:c>
      <x:c r="B22" s="4" t="str">
        <x:v>LongVideoBench</x:v>
      </x:c>
      <x:c r="C22" s="4" t="str">
        <x:v>Text-referred Object Attribute</x:v>
      </x:c>
      <x:c r="D22" s="4" t="str">
        <x:v>P06</x:v>
      </x:c>
      <x:c r="E22" s="14" t="str">
        <x:v>R1</x:v>
      </x:c>
      <x:c r="F22" s="14" t="str">
        <x:v>R1</x:v>
      </x:c>
      <x:c r="G22" s="4" t="str">
        <x:v>R1</x:v>
      </x:c>
      <x:c r="H22" s="4" t="str">
        <x:v>字幕定位后读取穿着属性。</x:v>
      </x:c>
      <x:c r="I22" s="4" t="str">
        <x:v>锚点检索；字幕/视觉时间对齐；必要时重识别</x:v>
      </x:c>
      <x:c r="J22" s="4" t="str">
        <x:v>A woman in the driver's seat, wearing blue jeans and a high ponytail, is mentioned in the subtitles 'really in depth car videos like those'. What color top was she wearing?</x:v>
      </x:c>
      <x:c r="K22" s="4" t="str">
        <x:v>已核对论文原生定义/模板；代表题沿用用户表，未逐条核对原始视频</x:v>
      </x:c>
      <x:c r="L22" s="4" t="str">
        <x:v>论文定义级核对；代表题按工作簿题干分析；未逐题观看视频</x:v>
      </x:c>
      <x:c r="M22" s="4" t="str">
        <x:v>https://arxiv.org/pdf/2407.15754</x:v>
      </x:c>
      <x:c r="N22" s="4" t="str">
        <x:v>§3；Fig.2；Table 2</x:v>
      </x:c>
      <x:c r="O22" s="4" t="str">
        <x:v>https://huggingface.co/datasets/longvideobench/LongVideoBench</x:v>
      </x:c>
    </x:row>
    <x:row r="23" ht="80" customHeight="1">
      <x:c r="A23" s="4" t="str">
        <x:v>src.longvideobench.taa</x:v>
      </x:c>
      <x:c r="B23" s="4" t="str">
        <x:v>LongVideoBench</x:v>
      </x:c>
      <x:c r="C23" s="4" t="str">
        <x:v>Text-referred Object Attribute Change</x:v>
      </x:c>
      <x:c r="D23" s="4" t="str">
        <x:v>P06</x:v>
      </x:c>
      <x:c r="E23" s="14" t="str">
        <x:v>R2</x:v>
      </x:c>
      <x:c r="F23" s="14" t="str">
        <x:v>R2</x:v>
      </x:c>
      <x:c r="G23" s="4" t="str">
        <x:v>R2</x:v>
      </x:c>
      <x:c r="H23" s="4" t="str">
        <x:v>指定字幕附近的火焰变化依赖有序多帧；不是单属性读取。</x:v>
      </x:c>
      <x:c r="I23" s="4" t="str">
        <x:v>锚点；实体对齐；端点/邻帧比较</x:v>
      </x:c>
      <x:c r="J23" s="4" t="str">
        <x:v>Amid thick black smoke, yellow flames erupt. When they appear with the subtitle 'forth basaltic magma from the mantle in', what change occurs to the flames?</x:v>
      </x:c>
      <x:c r="K23" s="4" t="str">
        <x:v>已核对论文原生定义/模板；代表题沿用用户表，未逐条核对原始视频</x:v>
      </x:c>
      <x:c r="L23" s="4" t="str">
        <x:v>论文定义级核对；代表题按工作簿题干分析；未逐题观看视频</x:v>
      </x:c>
      <x:c r="M23" s="4" t="str">
        <x:v>https://arxiv.org/pdf/2407.15754</x:v>
      </x:c>
      <x:c r="N23" s="4" t="str">
        <x:v>§3；Fig.2；Table 2</x:v>
      </x:c>
      <x:c r="O23" s="4" t="str">
        <x:v>https://huggingface.co/datasets/longvideobench/LongVideoBench</x:v>
      </x:c>
    </x:row>
    <x:row r="24" ht="52" customHeight="1">
      <x:c r="A24" s="4" t="str">
        <x:v>src.longvideobench.tos</x:v>
      </x:c>
      <x:c r="B24" s="4" t="str">
        <x:v>LongVideoBench</x:v>
      </x:c>
      <x:c r="C24" s="4" t="str">
        <x:v>Text-referred Object Tracking</x:v>
      </x:c>
      <x:c r="D24" s="4" t="str">
        <x:v>P13</x:v>
      </x:c>
      <x:c r="E24" s="14" t="str">
        <x:v>R1</x:v>
      </x:c>
      <x:c r="F24" s="14" t="str">
        <x:v>R1</x:v>
      </x:c>
      <x:c r="G24" s="4" t="str">
        <x:v>R1</x:v>
      </x:c>
      <x:c r="H24" s="4" t="str">
        <x:v>示例由举手人物找到同期字幕；任务名字有Tracking，但不必维护连续轨迹。</x:v>
      </x:c>
      <x:c r="I24" s="4" t="str">
        <x:v>锚点检索；字幕/视觉时间对齐；必要时重识别</x:v>
      </x:c>
      <x:c r="J24" s="4" t="str">
        <x:v>A man in a white shirt raises one hand while seated on a black chair. This man appears with which subtitle?</x:v>
      </x:c>
      <x:c r="K24" s="4" t="str">
        <x:v>已核对论文原生定义/模板；代表题沿用用户表，未逐条核对原始视频</x:v>
      </x:c>
      <x:c r="L24" s="4" t="str">
        <x:v>论文定义级核对；代表题按工作簿题干分析；未逐题观看视频</x:v>
      </x:c>
      <x:c r="M24" s="4" t="str">
        <x:v>https://arxiv.org/pdf/2407.15754</x:v>
      </x:c>
      <x:c r="N24" s="4" t="str">
        <x:v>§3；Fig.2；Table 2</x:v>
      </x:c>
      <x:c r="O24" s="4" t="str">
        <x:v>https://huggingface.co/datasets/longvideobench/LongVideoBench</x:v>
      </x:c>
    </x:row>
    <x:row r="25" ht="52" customHeight="1">
      <x:c r="A25" s="4" t="str">
        <x:v>src.lvbench.entity_recognition</x:v>
      </x:c>
      <x:c r="B25" s="4" t="str">
        <x:v>LVBench</x:v>
      </x:c>
      <x:c r="C25" s="4" t="str">
        <x:v>Entity Recognition</x:v>
      </x:c>
      <x:c r="D25" s="4" t="str">
        <x:v>P01 | P09 | P16</x:v>
      </x:c>
      <x:c r="E25" s="14" t="str">
        <x:v>R1</x:v>
      </x:c>
      <x:c r="F25" s="14" t="str">
        <x:v>R4</x:v>
      </x:c>
      <x:c r="G25" s="4" t="str">
        <x:v>R1 | R2 | R4 | R6</x:v>
      </x:c>
      <x:c r="H25" s="4" t="str">
        <x:v>6种能力可多标签组合。香的示例问实体根数，需实例去重；追踪/关系样本另分R2/R6。</x:v>
      </x:c>
      <x:c r="I25" s="4" t="str">
        <x:v>长视频检索；身份；实例/事件单位区分</x:v>
      </x:c>
      <x:c r="J25" s="4" t="str">
        <x:v>How many sticks does the protagonist put in the incense burner?</x:v>
      </x:c>
      <x:c r="K25" s="4" t="str">
        <x:v>已核对论文原生定义/模板；代表题沿用用户表，未逐条核对原始视频</x:v>
      </x:c>
      <x:c r="L25" s="4" t="str">
        <x:v>论文定义级核对；代表题按工作簿题干分析；未逐题观看视频</x:v>
      </x:c>
      <x:c r="M25" s="4" t="str">
        <x:v>https://arxiv.org/html/2406.08035v3</x:v>
      </x:c>
      <x:c r="N25" s="4" t="str">
        <x:v>§3.2；Fig.1；Appendix B 多标签组合</x:v>
      </x:c>
      <x:c r="O25" s="4" t="str">
        <x:v>https://github.com/zai-org/LVBench</x:v>
      </x:c>
    </x:row>
    <x:row r="26" ht="46" customHeight="1">
      <x:c r="A26" s="4" t="str">
        <x:v>src.lvbench.event_understanding</x:v>
      </x:c>
      <x:c r="B26" s="4" t="str">
        <x:v>LVBench</x:v>
      </x:c>
      <x:c r="C26" s="4" t="str">
        <x:v>Event Understanding</x:v>
      </x:c>
      <x:c r="D26" s="4" t="str">
        <x:v>P01 | P09</x:v>
      </x:c>
      <x:c r="E26" s="14" t="str">
        <x:v>R1</x:v>
      </x:c>
      <x:c r="F26" s="14" t="str">
        <x:v>R1</x:v>
      </x:c>
      <x:c r="G26" s="4" t="str">
        <x:v>R1 | R3 | R5</x:v>
      </x:c>
      <x:c r="H26" s="4" t="str">
        <x:v>天气示例是开场局部观察；Fig.1换人次数需R3；视频类型/整体流程可能需R5。</x:v>
      </x:c>
      <x:c r="I26" s="4" t="str">
        <x:v>指定开场；事件扫描；覆盖</x:v>
      </x:c>
      <x:c r="J26" s="4" t="str">
        <x:v>How is the weather like in the opening?</x:v>
      </x:c>
      <x:c r="K26" s="4" t="str">
        <x:v>已核对论文原生定义/模板；代表题沿用用户表，未逐条核对原始视频</x:v>
      </x:c>
      <x:c r="L26" s="4" t="str">
        <x:v>论文定义级核对；代表题按工作簿题干分析；未逐题观看视频</x:v>
      </x:c>
      <x:c r="M26" s="4" t="str">
        <x:v>https://arxiv.org/html/2406.08035v3</x:v>
      </x:c>
      <x:c r="N26" s="4" t="str">
        <x:v>§3.2；Fig.1；Appendix B 多标签组合</x:v>
      </x:c>
      <x:c r="O26" s="4" t="str">
        <x:v>https://github.com/zai-org/LVBench</x:v>
      </x:c>
    </x:row>
    <x:row r="27" ht="46" customHeight="1">
      <x:c r="A27" s="4" t="str">
        <x:v>src.lvbench.key_information_retrieval</x:v>
      </x:c>
      <x:c r="B27" s="4" t="str">
        <x:v>LVBench</x:v>
      </x:c>
      <x:c r="C27" s="4" t="str">
        <x:v>Key Information Retrieval</x:v>
      </x:c>
      <x:c r="D27" s="4" t="str">
        <x:v>P01 | P09</x:v>
      </x:c>
      <x:c r="E27" s="14" t="str">
        <x:v>R1</x:v>
      </x:c>
      <x:c r="F27" s="14" t="str">
        <x:v>R1</x:v>
      </x:c>
      <x:c r="G27" s="4" t="str">
        <x:v>R1 | R4 | R8</x:v>
      </x:c>
      <x:c r="H27" s="4" t="str">
        <x:v>片头年份可局部OCR；所有关键词需R4，依据读数计算才R8。</x:v>
      </x:c>
      <x:c r="I27" s="4" t="str">
        <x:v>OCR高分辨率；检索</x:v>
      </x:c>
      <x:c r="J27" s="4" t="str">
        <x:v>What year appears in the opening caption of the video?</x:v>
      </x:c>
      <x:c r="K27" s="4" t="str">
        <x:v>已核对论文原生定义/模板；代表题沿用用户表，未逐条核对原始视频</x:v>
      </x:c>
      <x:c r="L27" s="4" t="str">
        <x:v>论文定义级核对；代表题按工作簿题干分析；未逐题观看视频</x:v>
      </x:c>
      <x:c r="M27" s="4" t="str">
        <x:v>https://arxiv.org/html/2406.08035v3</x:v>
      </x:c>
      <x:c r="N27" s="4" t="str">
        <x:v>§3.2；Fig.1；Appendix B 多标签组合</x:v>
      </x:c>
      <x:c r="O27" s="4" t="str">
        <x:v>https://github.com/zai-org/LVBench</x:v>
      </x:c>
    </x:row>
    <x:row r="28" ht="52" customHeight="1">
      <x:c r="A28" s="4" t="str">
        <x:v>src.lvbench.reasoning</x:v>
      </x:c>
      <x:c r="B28" s="4" t="str">
        <x:v>LVBench</x:v>
      </x:c>
      <x:c r="C28" s="4" t="str">
        <x:v>Reasoning</x:v>
      </x:c>
      <x:c r="D28" s="4" t="str">
        <x:v>P11</x:v>
      </x:c>
      <x:c r="E28" s="14" t="str">
        <x:v>R6</x:v>
      </x:c>
      <x:c r="F28" s="14" t="str">
        <x:v>R6</x:v>
      </x:c>
      <x:c r="G28" s="4" t="str">
        <x:v>R1 | R6 | R7</x:v>
      </x:c>
      <x:c r="H28" s="4" t="str">
        <x:v>母子不能进城的原因需证据支撑；明示原因可R1；原定义也含未来预测，需R7分支。</x:v>
      </x:c>
      <x:c r="I28" s="4" t="str">
        <x:v>人物/因果证据；推断与观察分离</x:v>
      </x:c>
      <x:c r="J28" s="4" t="str">
        <x:v>Why are the mother and child, who line in front of the protagonist, unable to enter the city?</x:v>
      </x:c>
      <x:c r="K28" s="4" t="str">
        <x:v>已核对论文原生定义/模板；代表题沿用用户表，未逐条核对原始视频</x:v>
      </x:c>
      <x:c r="L28" s="4" t="str">
        <x:v>论文定义级核对；代表题按工作簿题干分析；未逐题观看视频</x:v>
      </x:c>
      <x:c r="M28" s="4" t="str">
        <x:v>https://arxiv.org/html/2406.08035v3</x:v>
      </x:c>
      <x:c r="N28" s="4" t="str">
        <x:v>§3.2；Fig.1；Appendix B 多标签组合</x:v>
      </x:c>
      <x:c r="O28" s="4" t="str">
        <x:v>https://github.com/zai-org/LVBench</x:v>
      </x:c>
    </x:row>
    <x:row r="29" ht="52" customHeight="1">
      <x:c r="A29" s="4" t="str">
        <x:v>src.lvbench.summarization</x:v>
      </x:c>
      <x:c r="B29" s="4" t="str">
        <x:v>LVBench</x:v>
      </x:c>
      <x:c r="C29" s="4" t="str">
        <x:v>Summarization</x:v>
      </x:c>
      <x:c r="D29" s="4" t="str">
        <x:v>P06 | P10 | P11</x:v>
      </x:c>
      <x:c r="E29" s="14" t="str">
        <x:v>R5</x:v>
      </x:c>
      <x:c r="F29" s="14" t="str">
        <x:v>R1</x:v>
      </x:c>
      <x:c r="G29" s="4" t="str">
        <x:v>R1 | R5 | R6</x:v>
      </x:c>
      <x:c r="H29" s="4" t="str">
        <x:v>原生总括定义以R5为主；表内示例只问威胁之后主角做什么，更像锚点后局部事件，不证明P10/P11都必要。</x:v>
      </x:c>
      <x:c r="I29" s="4" t="str">
        <x:v>场景锚点；范围；若多事件摘要R5</x:v>
      </x:c>
      <x:c r="J29" s="4" t="str">
        <x:v>After the man with the gun threatens the cook, what does the protagonist do?</x:v>
      </x:c>
      <x:c r="K29" s="4" t="str">
        <x:v>已核对论文原生定义/模板；代表题沿用用户表，未逐条核对原始视频</x:v>
      </x:c>
      <x:c r="L29" s="4" t="str">
        <x:v>论文定义级核对；代表题按工作簿题干分析；未逐题观看视频</x:v>
      </x:c>
      <x:c r="M29" s="4" t="str">
        <x:v>https://arxiv.org/html/2406.08035v3</x:v>
      </x:c>
      <x:c r="N29" s="4" t="str">
        <x:v>§3.2；Fig.1；Appendix B 多标签组合</x:v>
      </x:c>
      <x:c r="O29" s="4" t="str">
        <x:v>https://github.com/zai-org/LVBench</x:v>
      </x:c>
    </x:row>
    <x:row r="30" ht="46" customHeight="1">
      <x:c r="A30" s="4" t="str">
        <x:v>src.lvbench.temporal_grounding</x:v>
      </x:c>
      <x:c r="B30" s="4" t="str">
        <x:v>LVBench</x:v>
      </x:c>
      <x:c r="C30" s="4" t="str">
        <x:v>Temporal Grounding</x:v>
      </x:c>
      <x:c r="D30" s="4" t="str">
        <x:v>P01</x:v>
      </x:c>
      <x:c r="E30" s="14" t="str">
        <x:v>R3</x:v>
      </x:c>
      <x:c r="F30" s="14" t="str">
        <x:v>R1</x:v>
      </x:c>
      <x:c r="G30" s="4" t="str">
        <x:v>R1 | R3</x:v>
      </x:c>
      <x:c r="H30" s="4" t="str">
        <x:v>给定01:58–02:46问发生什么走R1；原定义还包含事件定位、持续时间及顺序，走R3。</x:v>
      </x:c>
      <x:c r="I30" s="4" t="str">
        <x:v>外显时间段；事件边界</x:v>
      </x:c>
      <x:c r="J30" s="4" t="str">
        <x:v>What happens from 01:58-02:46?</x:v>
      </x:c>
      <x:c r="K30" s="4" t="str">
        <x:v>已核对论文原生定义/模板；代表题沿用用户表，未逐条核对原始视频</x:v>
      </x:c>
      <x:c r="L30" s="4" t="str">
        <x:v>论文定义级核对；代表题按工作簿题干分析；未逐题观看视频</x:v>
      </x:c>
      <x:c r="M30" s="4" t="str">
        <x:v>https://arxiv.org/html/2406.08035v3</x:v>
      </x:c>
      <x:c r="N30" s="4" t="str">
        <x:v>§3.2；Fig.1；Appendix B 多标签组合</x:v>
      </x:c>
      <x:c r="O30" s="4" t="str">
        <x:v>https://github.com/zai-org/LVBench</x:v>
      </x:c>
    </x:row>
    <x:row r="31" ht="46" customHeight="1">
      <x:c r="A31" s="4" t="str">
        <x:v>src.mlvu.ac</x:v>
      </x:c>
      <x:c r="B31" s="4" t="str">
        <x:v>MLVU</x:v>
      </x:c>
      <x:c r="C31" s="4" t="str">
        <x:v>Action Count</x:v>
      </x:c>
      <x:c r="D31" s="4" t="str">
        <x:v>P05</x:v>
      </x:c>
      <x:c r="E31" s="14" t="str">
        <x:v>R3</x:v>
      </x:c>
      <x:c r="F31" s="14" t="str">
        <x:v>R3</x:v>
      </x:c>
      <x:c r="G31" s="4" t="str">
        <x:v>R3</x:v>
      </x:c>
      <x:c r="H31" s="4" t="str">
        <x:v>统计插入目标动作的独立occurrence；跨窗口去重。</x:v>
      </x:c>
      <x:c r="I31" s="4" t="str">
        <x:v>事件账本；时间边界；动作次数</x:v>
      </x:c>
      <x:c r="J31" s="4" t="str">
        <x:v>How many times does the action of 'carving a pumpkin' occur in this video?</x:v>
      </x:c>
      <x:c r="K31" s="4" t="str">
        <x:v>原论文例题/图表与工作簿题干对照；未观看完整视频</x:v>
      </x:c>
      <x:c r="L31" s="4" t="str">
        <x:v>论文定义级核对；代表题按工作簿题干分析；未逐题观看视频</x:v>
      </x:c>
      <x:c r="M31" s="4" t="str">
        <x:v>https://arxiv.org/html/2406.04264v3</x:v>
      </x:c>
      <x:c r="N31" s="4" t="str">
        <x:v>§3.2；Fig.2；Appendix F</x:v>
      </x:c>
      <x:c r="O31" s="4" t="str">
        <x:v>https://github.com/JUNJIE99/MLVU</x:v>
      </x:c>
    </x:row>
    <x:row r="32" ht="52" customHeight="1">
      <x:c r="A32" s="4" t="str">
        <x:v>src.mlvu.ao</x:v>
      </x:c>
      <x:c r="B32" s="4" t="str">
        <x:v>MLVU</x:v>
      </x:c>
      <x:c r="C32" s="4" t="str">
        <x:v>Action Order</x:v>
      </x:c>
      <x:c r="D32" s="4" t="str">
        <x:v>P07</x:v>
      </x:c>
      <x:c r="E32" s="14" t="str">
        <x:v>R3</x:v>
      </x:c>
      <x:c r="F32" s="14" t="str">
        <x:v>R3</x:v>
      </x:c>
      <x:c r="G32" s="4" t="str">
        <x:v>R3</x:v>
      </x:c>
      <x:c r="H32" s="4" t="str">
        <x:v>为各动作建时间索引后排序。</x:v>
      </x:c>
      <x:c r="I32" s="4" t="str">
        <x:v>事件账本；时间边界；动作次数</x:v>
      </x:c>
      <x:c r="J32" s="4" t="str">
        <x:v>Order these actions from the video: (1) water skiing, (2) playing trombone, (3) making jewelry.</x:v>
      </x:c>
      <x:c r="K32" s="4" t="str">
        <x:v>原论文例题/图表与工作簿题干对照；未观看完整视频</x:v>
      </x:c>
      <x:c r="L32" s="4" t="str">
        <x:v>论文定义级核对；代表题按工作簿题干分析；未逐题观看视频</x:v>
      </x:c>
      <x:c r="M32" s="4" t="str">
        <x:v>https://arxiv.org/html/2406.04264v3</x:v>
      </x:c>
      <x:c r="N32" s="4" t="str">
        <x:v>§3.2；Fig.2；Appendix F</x:v>
      </x:c>
      <x:c r="O32" s="4" t="str">
        <x:v>https://github.com/JUNJIE99/MLVU</x:v>
      </x:c>
    </x:row>
    <x:row r="33" ht="52" customHeight="1">
      <x:c r="A33" s="4" t="str">
        <x:v>src.mlvu.ar</x:v>
      </x:c>
      <x:c r="B33" s="4" t="str">
        <x:v>MLVU</x:v>
      </x:c>
      <x:c r="C33" s="4" t="str">
        <x:v>Anomaly Recognition</x:v>
      </x:c>
      <x:c r="D33" s="4" t="str">
        <x:v>P14</x:v>
      </x:c>
      <x:c r="E33" s="14" t="str">
        <x:v>R1</x:v>
      </x:c>
      <x:c r="F33" s="14" t="str">
        <x:v>R1</x:v>
      </x:c>
      <x:c r="G33" s="4" t="str">
        <x:v>R1 | R6</x:v>
      </x:c>
      <x:c r="H33" s="4" t="str">
        <x:v>找出监控异常片段并分类；需要覆盖扫描，但不必建立显式期望世界。解释为何异常另用R6。</x:v>
      </x:c>
      <x:c r="I33" s="4" t="str">
        <x:v>检索/覆盖扫描；局部回看；不偷用标注证据段</x:v>
      </x:c>
      <x:c r="J33" s="4" t="str">
        <x:v>What type of abnormality is in this surveillance video?</x:v>
      </x:c>
      <x:c r="K33" s="4" t="str">
        <x:v>原论文例题/图表与工作簿题干对照；未观看完整视频</x:v>
      </x:c>
      <x:c r="L33" s="4" t="str">
        <x:v>论文定义级核对；代表题按工作簿题干分析；未逐题观看视频</x:v>
      </x:c>
      <x:c r="M33" s="4" t="str">
        <x:v>https://arxiv.org/html/2406.04264v3</x:v>
      </x:c>
      <x:c r="N33" s="4" t="str">
        <x:v>§3.2；Fig.2；Appendix F</x:v>
      </x:c>
      <x:c r="O33" s="4" t="str">
        <x:v>https://github.com/JUNJIE99/MLVU</x:v>
      </x:c>
    </x:row>
    <x:row r="34" ht="52" customHeight="1">
      <x:c r="A34" s="4" t="str">
        <x:v>src.mlvu.er</x:v>
      </x:c>
      <x:c r="B34" s="4" t="str">
        <x:v>MLVU</x:v>
      </x:c>
      <x:c r="C34" s="4" t="str">
        <x:v>Ego Reasoning</x:v>
      </x:c>
      <x:c r="D34" s="4" t="str">
        <x:v>P02 | P11</x:v>
      </x:c>
      <x:c r="E34" s="14" t="str">
        <x:v>R1</x:v>
      </x:c>
      <x:c r="F34" s="14" t="str">
        <x:v>R1</x:v>
      </x:c>
      <x:c r="G34" s="4" t="str">
        <x:v>R1 | R2 | R6</x:v>
      </x:c>
      <x:c r="H34" s="4" t="str">
        <x:v>Fig.2问挂手套之前放哪里，是锚点之前状态检索；必要时同一实体关联；原因解释才R6。</x:v>
      </x:c>
      <x:c r="I34" s="4" t="str">
        <x:v>检索/覆盖扫描；局部回看；不偷用标注证据段</x:v>
      </x:c>
      <x:c r="J34" s="4" t="str">
        <x:v>Where was the baking glove before I hung it on the hook?</x:v>
      </x:c>
      <x:c r="K34" s="4" t="str">
        <x:v>原论文例题/图表与工作簿题干对照；未观看完整视频</x:v>
      </x:c>
      <x:c r="L34" s="4" t="str">
        <x:v>论文定义级核对；代表题按工作簿题干分析；未逐题观看视频</x:v>
      </x:c>
      <x:c r="M34" s="4" t="str">
        <x:v>https://arxiv.org/html/2406.04264v3</x:v>
      </x:c>
      <x:c r="N34" s="4" t="str">
        <x:v>§3.2；Fig.2；Appendix F</x:v>
      </x:c>
      <x:c r="O34" s="4" t="str">
        <x:v>https://github.com/JUNJIE99/MLVU</x:v>
      </x:c>
    </x:row>
    <x:row r="35" ht="52" customHeight="1">
      <x:c r="A35" s="4" t="str">
        <x:v>src.mlvu.nqa</x:v>
      </x:c>
      <x:c r="B35" s="4" t="str">
        <x:v>MLVU</x:v>
      </x:c>
      <x:c r="C35" s="4" t="str">
        <x:v>Needle QA</x:v>
      </x:c>
      <x:c r="D35" s="4" t="str">
        <x:v>P09</x:v>
      </x:c>
      <x:c r="E35" s="14" t="str">
        <x:v>R1</x:v>
      </x:c>
      <x:c r="F35" s="14" t="str">
        <x:v>R1</x:v>
      </x:c>
      <x:c r="G35" s="4" t="str">
        <x:v>R1</x:v>
      </x:c>
      <x:c r="H35" s="4" t="str">
        <x:v>先在背景视频中定位插入needle，再局部问答；长短只是检索配置。</x:v>
      </x:c>
      <x:c r="I35" s="4" t="str">
        <x:v>检索/覆盖扫描；局部回看；不偷用标注证据段</x:v>
      </x:c>
      <x:c r="J35" s="4" t="str">
        <x:v>What is the man in the video doing on the lake shore during the sunny summer?</x:v>
      </x:c>
      <x:c r="K35" s="4" t="str">
        <x:v>原论文例题/图表与工作簿题干对照；未观看完整视频</x:v>
      </x:c>
      <x:c r="L35" s="4" t="str">
        <x:v>论文定义级核对；代表题按工作簿题干分析；未逐题观看视频</x:v>
      </x:c>
      <x:c r="M35" s="4" t="str">
        <x:v>https://arxiv.org/html/2406.04264v3</x:v>
      </x:c>
      <x:c r="N35" s="4" t="str">
        <x:v>§3.2；Fig.2；Appendix F</x:v>
      </x:c>
      <x:c r="O35" s="4" t="str">
        <x:v>https://github.com/JUNJIE99/MLVU</x:v>
      </x:c>
    </x:row>
    <x:row r="36" ht="46" customHeight="1">
      <x:c r="A36" s="4" t="str">
        <x:v>src.mlvu.pqa</x:v>
      </x:c>
      <x:c r="B36" s="4" t="str">
        <x:v>MLVU</x:v>
      </x:c>
      <x:c r="C36" s="4" t="str">
        <x:v>Plot QA</x:v>
      </x:c>
      <x:c r="D36" s="4" t="str">
        <x:v>P11</x:v>
      </x:c>
      <x:c r="E36" s="14" t="str">
        <x:v>R1</x:v>
      </x:c>
      <x:c r="F36" s="14" t="str">
        <x:v>R1</x:v>
      </x:c>
      <x:c r="G36" s="4" t="str">
        <x:v>R1 | R6</x:v>
      </x:c>
      <x:c r="H36" s="4" t="str">
        <x:v>Fig.2猫鼠例题问所用物体；局部取证可解，不应因Plot就强制多跳图。</x:v>
      </x:c>
      <x:c r="I36" s="4" t="str">
        <x:v>检索/覆盖扫描；局部回看；不偷用标注证据段</x:v>
      </x:c>
      <x:c r="J36" s="4" t="str">
        <x:v>What does the cartoon mouse use to hit the cartoon cat?</x:v>
      </x:c>
      <x:c r="K36" s="4" t="str">
        <x:v>原论文例题/图表与工作簿题干对照；未观看完整视频</x:v>
      </x:c>
      <x:c r="L36" s="4" t="str">
        <x:v>论文定义级核对；代表题按工作簿题干分析；未逐题观看视频</x:v>
      </x:c>
      <x:c r="M36" s="4" t="str">
        <x:v>https://arxiv.org/html/2406.04264v3</x:v>
      </x:c>
      <x:c r="N36" s="4" t="str">
        <x:v>§3.2；Fig.2；Appendix F</x:v>
      </x:c>
      <x:c r="O36" s="4" t="str">
        <x:v>https://github.com/JUNJIE99/MLVU</x:v>
      </x:c>
    </x:row>
    <x:row r="37" ht="66" customHeight="1">
      <x:c r="A37" s="4" t="str">
        <x:v>src.mlvu.ssc</x:v>
      </x:c>
      <x:c r="B37" s="4" t="str">
        <x:v>MLVU</x:v>
      </x:c>
      <x:c r="C37" s="4" t="str">
        <x:v>Sub-Scene Captioning</x:v>
      </x:c>
      <x:c r="D37" s="4" t="str">
        <x:v>P01</x:v>
      </x:c>
      <x:c r="E37" s="14" t="str">
        <x:v>R1</x:v>
      </x:c>
      <x:c r="F37" s="14" t="str">
        <x:v>R1</x:v>
      </x:c>
      <x:c r="G37" s="4" t="str">
        <x:v>R1 | R5</x:v>
      </x:c>
      <x:c r="H37" s="4" t="str">
        <x:v>先定位被描述子场景，再生成局部描述；生成输出不是新pipeline。</x:v>
      </x:c>
      <x:c r="I37" s="4" t="str">
        <x:v>检索/覆盖扫描；局部回看；不偷用标注证据段</x:v>
      </x:c>
      <x:c r="J37" s="4" t="str">
        <x:v>Please describe how the man in the white suit saved the woman wearing red high heels when she was about to fall due to a twisted ankle…</x:v>
      </x:c>
      <x:c r="K37" s="4" t="str">
        <x:v>原论文例题/图表与工作簿题干对照；未观看完整视频</x:v>
      </x:c>
      <x:c r="L37" s="4" t="str">
        <x:v>论文定义级核对；代表题按工作簿题干分析；未逐题观看视频</x:v>
      </x:c>
      <x:c r="M37" s="4" t="str">
        <x:v>https://arxiv.org/html/2406.04264v3</x:v>
      </x:c>
      <x:c r="N37" s="4" t="str">
        <x:v>§3.2；Fig.2；Appendix F</x:v>
      </x:c>
      <x:c r="O37" s="4" t="str">
        <x:v>https://github.com/JUNJIE99/MLVU</x:v>
      </x:c>
    </x:row>
    <x:row r="38" ht="46" customHeight="1">
      <x:c r="A38" s="4" t="str">
        <x:v>src.mlvu.tr</x:v>
      </x:c>
      <x:c r="B38" s="4" t="str">
        <x:v>MLVU</x:v>
      </x:c>
      <x:c r="C38" s="4" t="str">
        <x:v>Topic Reasoning</x:v>
      </x:c>
      <x:c r="D38" s="4" t="str">
        <x:v>P10</x:v>
      </x:c>
      <x:c r="E38" s="14" t="str">
        <x:v>R5</x:v>
      </x:c>
      <x:c r="F38" s="14" t="str">
        <x:v>R5</x:v>
      </x:c>
      <x:c r="G38" s="4" t="str">
        <x:v>R5</x:v>
      </x:c>
      <x:c r="H38" s="4" t="str">
        <x:v>概括全片游戏主要目标/类型；不是见到任意局部动作即结束。</x:v>
      </x:c>
      <x:c r="I38" s="4" t="str">
        <x:v>覆盖；分段摘要；原生评分</x:v>
      </x:c>
      <x:c r="J38" s="4" t="str">
        <x:v>What is the person in the game doing?</x:v>
      </x:c>
      <x:c r="K38" s="4" t="str">
        <x:v>原论文例题/图表与工作簿题干对照；未观看完整视频</x:v>
      </x:c>
      <x:c r="L38" s="4" t="str">
        <x:v>论文定义级核对；代表题按工作簿题干分析；未逐题观看视频</x:v>
      </x:c>
      <x:c r="M38" s="4" t="str">
        <x:v>https://arxiv.org/html/2406.04264v3</x:v>
      </x:c>
      <x:c r="N38" s="4" t="str">
        <x:v>§3.2；Fig.2；Appendix F</x:v>
      </x:c>
      <x:c r="O38" s="4" t="str">
        <x:v>https://github.com/JUNJIE99/MLVU</x:v>
      </x:c>
    </x:row>
    <x:row r="39" ht="46" customHeight="1">
      <x:c r="A39" s="4" t="str">
        <x:v>src.mlvu.vs</x:v>
      </x:c>
      <x:c r="B39" s="4" t="str">
        <x:v>MLVU</x:v>
      </x:c>
      <x:c r="C39" s="4" t="str">
        <x:v>Video Summarization</x:v>
      </x:c>
      <x:c r="D39" s="4" t="str">
        <x:v>P10</x:v>
      </x:c>
      <x:c r="E39" s="14" t="str">
        <x:v>R5</x:v>
      </x:c>
      <x:c r="F39" s="14" t="str">
        <x:v>R5</x:v>
      </x:c>
      <x:c r="G39" s="4" t="str">
        <x:v>R5</x:v>
      </x:c>
      <x:c r="H39" s="4" t="str">
        <x:v>分段保留关键事件后综合摘要；保留官方生成评估。</x:v>
      </x:c>
      <x:c r="I39" s="4" t="str">
        <x:v>覆盖；分段摘要；原生评分</x:v>
      </x:c>
      <x:c r="J39" s="4" t="str">
        <x:v>Please summarize the main content of this video.</x:v>
      </x:c>
      <x:c r="K39" s="4" t="str">
        <x:v>原论文例题/图表与工作簿题干对照；未观看完整视频</x:v>
      </x:c>
      <x:c r="L39" s="4" t="str">
        <x:v>论文定义级核对；代表题按工作簿题干分析；未逐题观看视频</x:v>
      </x:c>
      <x:c r="M39" s="4" t="str">
        <x:v>https://arxiv.org/html/2406.04264v3</x:v>
      </x:c>
      <x:c r="N39" s="4" t="str">
        <x:v>§3.2；Fig.2；Appendix F</x:v>
      </x:c>
      <x:c r="O39" s="4" t="str">
        <x:v>https://github.com/JUNJIE99/MLVU</x:v>
      </x:c>
    </x:row>
    <x:row r="40" ht="46" customHeight="1">
      <x:c r="A40" s="4" t="str">
        <x:v>src.mvbench.action_antonym</x:v>
      </x:c>
      <x:c r="B40" s="4" t="str">
        <x:v>MVBench</x:v>
      </x:c>
      <x:c r="C40" s="4" t="str">
        <x:v>Action Antonym</x:v>
      </x:c>
      <x:c r="D40" s="4" t="str">
        <x:v>P01</x:v>
      </x:c>
      <x:c r="E40" s="14" t="str">
        <x:v>R2</x:v>
      </x:c>
      <x:c r="F40" s="14" t="str">
        <x:v>R2</x:v>
      </x:c>
      <x:c r="G40" s="4" t="str">
        <x:v>R2</x:v>
      </x:c>
      <x:c r="H40" s="4" t="str">
        <x:v>逆序动作辨别需要有序多帧；局部时间范围不意味着单帧取证。</x:v>
      </x:c>
      <x:c r="I40" s="4" t="str">
        <x:v>有序视频；锚点/追踪按需；帧预算</x:v>
      </x:c>
      <x:c r="J40" s="4" t="str">
        <x:v>Which one of these descriptions correctly matches the actions in the video?</x:v>
      </x:c>
      <x:c r="K40" s="4" t="str">
        <x:v>已核对论文原生定义/模板；代表题沿用用户表，未逐条核对原始视频</x:v>
      </x:c>
      <x:c r="L40" s="4" t="str">
        <x:v>论文定义级核对；代表题按工作簿题干分析；未逐题观看视频</x:v>
      </x:c>
      <x:c r="M40" s="4" t="str">
        <x:v>https://arxiv.org/pdf/2311.17005</x:v>
      </x:c>
      <x:c r="N40" s="4" t="str">
        <x:v>§3.1；Table 1</x:v>
      </x:c>
      <x:c r="O40" s="4" t="str">
        <x:v>https://huggingface.co/datasets/OpenGVLab/MVBench</x:v>
      </x:c>
    </x:row>
    <x:row r="41" ht="46" customHeight="1">
      <x:c r="A41" s="4" t="str">
        <x:v>src.mvbench.action_count</x:v>
      </x:c>
      <x:c r="B41" s="4" t="str">
        <x:v>MVBench</x:v>
      </x:c>
      <x:c r="C41" s="4" t="str">
        <x:v>Action Count</x:v>
      </x:c>
      <x:c r="D41" s="4" t="str">
        <x:v>P05</x:v>
      </x:c>
      <x:c r="E41" s="14" t="str">
        <x:v>R3</x:v>
      </x:c>
      <x:c r="F41" s="14" t="str">
        <x:v>R3</x:v>
      </x:c>
      <x:c r="G41" s="4" t="str">
        <x:v>R3</x:v>
      </x:c>
      <x:c r="H41" s="4" t="str">
        <x:v>计数目标动作的发生次数；不是动作种类数。</x:v>
      </x:c>
      <x:c r="I41" s="4" t="str">
        <x:v>有序视频；锚点/追踪按需；帧预算</x:v>
      </x:c>
      <x:c r="J41" s="4" t="str">
        <x:v>How many times did the person launch objects on the table?</x:v>
      </x:c>
      <x:c r="K41" s="4" t="str">
        <x:v>已核对论文原生定义/模板；代表题沿用用户表，未逐条核对原始视频</x:v>
      </x:c>
      <x:c r="L41" s="4" t="str">
        <x:v>论文定义级核对；代表题按工作簿题干分析；未逐题观看视频</x:v>
      </x:c>
      <x:c r="M41" s="4" t="str">
        <x:v>https://arxiv.org/pdf/2311.17005</x:v>
      </x:c>
      <x:c r="N41" s="4" t="str">
        <x:v>§3.1；Table 1</x:v>
      </x:c>
      <x:c r="O41" s="4" t="str">
        <x:v>https://huggingface.co/datasets/OpenGVLab/MVBench</x:v>
      </x:c>
    </x:row>
    <x:row r="42" ht="52" customHeight="1">
      <x:c r="A42" s="4" t="str">
        <x:v>src.mvbench.action_localization</x:v>
      </x:c>
      <x:c r="B42" s="4" t="str">
        <x:v>MVBench</x:v>
      </x:c>
      <x:c r="C42" s="4" t="str">
        <x:v>Action Localization</x:v>
      </x:c>
      <x:c r="D42" s="4" t="str">
        <x:v>P07</x:v>
      </x:c>
      <x:c r="E42" s="14" t="str">
        <x:v>R3</x:v>
      </x:c>
      <x:c r="F42" s="14" t="str">
        <x:v>R3</x:v>
      </x:c>
      <x:c r="G42" s="4" t="str">
        <x:v>R3</x:v>
      </x:c>
      <x:c r="H42" s="4" t="str">
        <x:v>问动作发生在视频哪一段；需定位区间再映射选项。</x:v>
      </x:c>
      <x:c r="I42" s="4" t="str">
        <x:v>有序视频；锚点/追踪按需；帧预算</x:v>
      </x:c>
      <x:c r="J42" s="4" t="str">
        <x:v>During which part of the video does the action 'person sitting on a couch' occur?</x:v>
      </x:c>
      <x:c r="K42" s="4" t="str">
        <x:v>已核对论文原生定义/模板；代表题沿用用户表，未逐条核对原始视频</x:v>
      </x:c>
      <x:c r="L42" s="4" t="str">
        <x:v>论文定义级核对；代表题按工作簿题干分析；未逐题观看视频</x:v>
      </x:c>
      <x:c r="M42" s="4" t="str">
        <x:v>https://arxiv.org/pdf/2311.17005</x:v>
      </x:c>
      <x:c r="N42" s="4" t="str">
        <x:v>§3.1；Table 1</x:v>
      </x:c>
      <x:c r="O42" s="4" t="str">
        <x:v>https://huggingface.co/datasets/OpenGVLab/MVBench</x:v>
      </x:c>
    </x:row>
    <x:row r="43" ht="46" customHeight="1">
      <x:c r="A43" s="4" t="str">
        <x:v>src.mvbench.action_prediction</x:v>
      </x:c>
      <x:c r="B43" s="4" t="str">
        <x:v>MVBench</x:v>
      </x:c>
      <x:c r="C43" s="4" t="str">
        <x:v>Action Prediction</x:v>
      </x:c>
      <x:c r="D43" s="4" t="str">
        <x:v>P12</x:v>
      </x:c>
      <x:c r="E43" s="14" t="str">
        <x:v>R7</x:v>
      </x:c>
      <x:c r="F43" s="14" t="str">
        <x:v>R7</x:v>
      </x:c>
      <x:c r="G43" s="4" t="str">
        <x:v>R7</x:v>
      </x:c>
      <x:c r="H43" s="4" t="str">
        <x:v>预测未观察动作；仅用提供的观察片段，不读后续真值。</x:v>
      </x:c>
      <x:c r="I43" s="4" t="str">
        <x:v>有序视频；锚点/追踪按需；帧预算</x:v>
      </x:c>
      <x:c r="J43" s="4" t="str">
        <x:v>What will the person do next?</x:v>
      </x:c>
      <x:c r="K43" s="4" t="str">
        <x:v>已核对论文原生定义/模板；代表题沿用用户表，未逐条核对原始视频</x:v>
      </x:c>
      <x:c r="L43" s="4" t="str">
        <x:v>论文定义级核对；代表题按工作簿题干分析；未逐题观看视频</x:v>
      </x:c>
      <x:c r="M43" s="4" t="str">
        <x:v>https://arxiv.org/pdf/2311.17005</x:v>
      </x:c>
      <x:c r="N43" s="4" t="str">
        <x:v>§3.1；Table 1</x:v>
      </x:c>
      <x:c r="O43" s="4" t="str">
        <x:v>https://huggingface.co/datasets/OpenGVLab/MVBench</x:v>
      </x:c>
    </x:row>
    <x:row r="44" ht="46" customHeight="1">
      <x:c r="A44" s="4" t="str">
        <x:v>src.mvbench.action_sequence</x:v>
      </x:c>
      <x:c r="B44" s="4" t="str">
        <x:v>MVBench</x:v>
      </x:c>
      <x:c r="C44" s="4" t="str">
        <x:v>Action Sequence</x:v>
      </x:c>
      <x:c r="D44" s="4" t="str">
        <x:v>P06</x:v>
      </x:c>
      <x:c r="E44" s="14" t="str">
        <x:v>R3</x:v>
      </x:c>
      <x:c r="F44" s="14" t="str">
        <x:v>R3</x:v>
      </x:c>
      <x:c r="G44" s="4" t="str">
        <x:v>R1 | R3</x:v>
      </x:c>
      <x:c r="H44" s="4" t="str">
        <x:v>先找取食物锚点，再查询后继事件。</x:v>
      </x:c>
      <x:c r="I44" s="4" t="str">
        <x:v>有序视频；锚点/追踪按需；帧预算</x:v>
      </x:c>
      <x:c r="J44" s="4" t="str">
        <x:v>What happened after the person took the food?</x:v>
      </x:c>
      <x:c r="K44" s="4" t="str">
        <x:v>已核对论文原生定义/模板；代表题沿用用户表，未逐条核对原始视频</x:v>
      </x:c>
      <x:c r="L44" s="4" t="str">
        <x:v>论文定义级核对；代表题按工作簿题干分析；未逐题观看视频</x:v>
      </x:c>
      <x:c r="M44" s="4" t="str">
        <x:v>https://arxiv.org/pdf/2311.17005</x:v>
      </x:c>
      <x:c r="N44" s="4" t="str">
        <x:v>§3.1；Table 1</x:v>
      </x:c>
      <x:c r="O44" s="4" t="str">
        <x:v>https://huggingface.co/datasets/OpenGVLab/MVBench</x:v>
      </x:c>
    </x:row>
    <x:row r="45" ht="46" customHeight="1">
      <x:c r="A45" s="4" t="str">
        <x:v>src.mvbench.character_order</x:v>
      </x:c>
      <x:c r="B45" s="4" t="str">
        <x:v>MVBench</x:v>
      </x:c>
      <x:c r="C45" s="4" t="str">
        <x:v>Character Order</x:v>
      </x:c>
      <x:c r="D45" s="4" t="str">
        <x:v>P07</x:v>
      </x:c>
      <x:c r="E45" s="14" t="str">
        <x:v>R3</x:v>
      </x:c>
      <x:c r="F45" s="14" t="str">
        <x:v>R3</x:v>
      </x:c>
      <x:c r="G45" s="4" t="str">
        <x:v>R3</x:v>
      </x:c>
      <x:c r="H45" s="4" t="str">
        <x:v>OCR是感知组件；first按字母首次写出时间排序。</x:v>
      </x:c>
      <x:c r="I45" s="4" t="str">
        <x:v>有序视频；锚点/追踪按需；帧预算</x:v>
      </x:c>
      <x:c r="J45" s="4" t="str">
        <x:v>What letter did the person write first on the paper?</x:v>
      </x:c>
      <x:c r="K45" s="4" t="str">
        <x:v>已核对论文原生定义/模板；代表题沿用用户表，未逐条核对原始视频</x:v>
      </x:c>
      <x:c r="L45" s="4" t="str">
        <x:v>论文定义级核对；代表题按工作簿题干分析；未逐题观看视频</x:v>
      </x:c>
      <x:c r="M45" s="4" t="str">
        <x:v>https://arxiv.org/pdf/2311.17005</x:v>
      </x:c>
      <x:c r="N45" s="4" t="str">
        <x:v>§3.1；Table 1</x:v>
      </x:c>
      <x:c r="O45" s="4" t="str">
        <x:v>https://huggingface.co/datasets/OpenGVLab/MVBench</x:v>
      </x:c>
    </x:row>
    <x:row r="46" ht="46" customHeight="1">
      <x:c r="A46" s="4" t="str">
        <x:v>src.mvbench.counterfactual_inference</x:v>
      </x:c>
      <x:c r="B46" s="4" t="str">
        <x:v>MVBench</x:v>
      </x:c>
      <x:c r="C46" s="4" t="str">
        <x:v>Counterfactual Inference</x:v>
      </x:c>
      <x:c r="D46" s="4" t="str">
        <x:v>P12</x:v>
      </x:c>
      <x:c r="E46" s="14" t="str">
        <x:v>R7</x:v>
      </x:c>
      <x:c r="F46" s="14" t="str">
        <x:v>R7</x:v>
      </x:c>
      <x:c r="G46" s="4" t="str">
        <x:v>R7</x:v>
      </x:c>
      <x:c r="H46" s="4" t="str">
        <x:v>删除圆柱后推演碰撞；分离实际观测与反事实轨迹。</x:v>
      </x:c>
      <x:c r="I46" s="4" t="str">
        <x:v>有序视频；锚点/追踪按需；帧预算</x:v>
      </x:c>
      <x:c r="J46" s="4" t="str">
        <x:v>Which of the following will happen if the cylinder is removed?</x:v>
      </x:c>
      <x:c r="K46" s="4" t="str">
        <x:v>已核对论文原生定义/模板；代表题沿用用户表，未逐条核对原始视频</x:v>
      </x:c>
      <x:c r="L46" s="4" t="str">
        <x:v>论文定义级核对；代表题按工作簿题干分析；未逐题观看视频</x:v>
      </x:c>
      <x:c r="M46" s="4" t="str">
        <x:v>https://arxiv.org/pdf/2311.17005</x:v>
      </x:c>
      <x:c r="N46" s="4" t="str">
        <x:v>§3.1；Table 1</x:v>
      </x:c>
      <x:c r="O46" s="4" t="str">
        <x:v>https://huggingface.co/datasets/OpenGVLab/MVBench</x:v>
      </x:c>
    </x:row>
    <x:row r="47" ht="52" customHeight="1">
      <x:c r="A47" s="4" t="str">
        <x:v>src.mvbench.egocentric_navigation</x:v>
      </x:c>
      <x:c r="B47" s="4" t="str">
        <x:v>MVBench</x:v>
      </x:c>
      <x:c r="C47" s="4" t="str">
        <x:v>Egocentric Navigation</x:v>
      </x:c>
      <x:c r="D47" s="4" t="str">
        <x:v>P19</x:v>
      </x:c>
      <x:c r="E47" s="14" t="str">
        <x:v>R9</x:v>
      </x:c>
      <x:c r="F47" s="14" t="str">
        <x:v>R9</x:v>
      </x:c>
      <x:c r="G47" s="4" t="str">
        <x:v>R9</x:v>
      </x:c>
      <x:c r="H47" s="4" t="str">
        <x:v>根据指令和当前朝向判断下一步导航动作；不一定求全局最短路。</x:v>
      </x:c>
      <x:c r="I47" s="4" t="str">
        <x:v>有序视频；锚点/追踪按需；帧预算</x:v>
      </x:c>
      <x:c r="J47" s="4" t="str">
        <x:v>For an agent following instruction: 'Go left through the door.' What is the next action it should take?</x:v>
      </x:c>
      <x:c r="K47" s="4" t="str">
        <x:v>已核对论文原生定义/模板；代表题沿用用户表，未逐条核对原始视频</x:v>
      </x:c>
      <x:c r="L47" s="4" t="str">
        <x:v>论文定义级核对；代表题按工作簿题干分析；未逐题观看视频</x:v>
      </x:c>
      <x:c r="M47" s="4" t="str">
        <x:v>https://arxiv.org/pdf/2311.17005</x:v>
      </x:c>
      <x:c r="N47" s="4" t="str">
        <x:v>§3.1；Table 1</x:v>
      </x:c>
      <x:c r="O47" s="4" t="str">
        <x:v>https://huggingface.co/datasets/OpenGVLab/MVBench</x:v>
      </x:c>
    </x:row>
    <x:row r="48" ht="46" customHeight="1">
      <x:c r="A48" s="4" t="str">
        <x:v>src.mvbench.episodic_reasoning</x:v>
      </x:c>
      <x:c r="B48" s="4" t="str">
        <x:v>MVBench</x:v>
      </x:c>
      <x:c r="C48" s="4" t="str">
        <x:v>Episodic Reasoning</x:v>
      </x:c>
      <x:c r="D48" s="4" t="str">
        <x:v>P11</x:v>
      </x:c>
      <x:c r="E48" s="14" t="str">
        <x:v>R6</x:v>
      </x:c>
      <x:c r="F48" s="14" t="str">
        <x:v>R6</x:v>
      </x:c>
      <x:c r="G48" s="4" t="str">
        <x:v>R1 | R6</x:v>
      </x:c>
      <x:c r="H48" s="4" t="str">
        <x:v>围绕剧中原因/人物关系推断；直接台词解释可退化R1。</x:v>
      </x:c>
      <x:c r="I48" s="4" t="str">
        <x:v>有序视频；锚点/追踪按需；帧预算</x:v>
      </x:c>
      <x:c r="J48" s="4" t="str">
        <x:v>Why did Castle dress like a fairy when he was speaking to Emily?</x:v>
      </x:c>
      <x:c r="K48" s="4" t="str">
        <x:v>已核对论文原生定义/模板；代表题沿用用户表，未逐条核对原始视频</x:v>
      </x:c>
      <x:c r="L48" s="4" t="str">
        <x:v>论文定义级核对；代表题按工作簿题干分析；未逐题观看视频</x:v>
      </x:c>
      <x:c r="M48" s="4" t="str">
        <x:v>https://arxiv.org/pdf/2311.17005</x:v>
      </x:c>
      <x:c r="N48" s="4" t="str">
        <x:v>§3.1；Table 1</x:v>
      </x:c>
      <x:c r="O48" s="4" t="str">
        <x:v>https://huggingface.co/datasets/OpenGVLab/MVBench</x:v>
      </x:c>
    </x:row>
    <x:row r="49" ht="46" customHeight="1">
      <x:c r="A49" s="4" t="str">
        <x:v>src.mvbench.fine_grained_action</x:v>
      </x:c>
      <x:c r="B49" s="4" t="str">
        <x:v>MVBench</x:v>
      </x:c>
      <x:c r="C49" s="4" t="str">
        <x:v>Fine-grained Action</x:v>
      </x:c>
      <x:c r="D49" s="4" t="str">
        <x:v>P01</x:v>
      </x:c>
      <x:c r="E49" s="14" t="str">
        <x:v>R2</x:v>
      </x:c>
      <x:c r="F49" s="14" t="str">
        <x:v>R2</x:v>
      </x:c>
      <x:c r="G49" s="4" t="str">
        <x:v>R1 | R2</x:v>
      </x:c>
      <x:c r="H49" s="4" t="str">
        <x:v>设计上比较相似动作的动态细节；静态可判子类可R1，但不利用文字偏置代替视频。</x:v>
      </x:c>
      <x:c r="I49" s="4" t="str">
        <x:v>有序视频；锚点/追踪按需；帧预算</x:v>
      </x:c>
      <x:c r="J49" s="4" t="str">
        <x:v>What is the action performed by the person in the video?</x:v>
      </x:c>
      <x:c r="K49" s="4" t="str">
        <x:v>已核对论文原生定义/模板；代表题沿用用户表，未逐条核对原始视频</x:v>
      </x:c>
      <x:c r="L49" s="4" t="str">
        <x:v>论文定义级核对；代表题按工作簿题干分析；未逐题观看视频</x:v>
      </x:c>
      <x:c r="M49" s="4" t="str">
        <x:v>https://arxiv.org/pdf/2311.17005</x:v>
      </x:c>
      <x:c r="N49" s="4" t="str">
        <x:v>§3.1；Table 1</x:v>
      </x:c>
      <x:c r="O49" s="4" t="str">
        <x:v>https://huggingface.co/datasets/OpenGVLab/MVBench</x:v>
      </x:c>
    </x:row>
    <x:row r="50" ht="46" customHeight="1">
      <x:c r="A50" s="4" t="str">
        <x:v>src.mvbench.fine_grained_pose</x:v>
      </x:c>
      <x:c r="B50" s="4" t="str">
        <x:v>MVBench</x:v>
      </x:c>
      <x:c r="C50" s="4" t="str">
        <x:v>Fine-grained Pose</x:v>
      </x:c>
      <x:c r="D50" s="4" t="str">
        <x:v>P01</x:v>
      </x:c>
      <x:c r="E50" s="14" t="str">
        <x:v>R2</x:v>
      </x:c>
      <x:c r="F50" s="14" t="str">
        <x:v>R2</x:v>
      </x:c>
      <x:c r="G50" s="4" t="str">
        <x:v>R1 | R2</x:v>
      </x:c>
      <x:c r="H50" s="4" t="str">
        <x:v>表内选项包含pick up/sit down/drop/stand up，涉及转移；真正静态姿势读数可R1。</x:v>
      </x:c>
      <x:c r="I50" s="4" t="str">
        <x:v>有序视频；锚点/追踪按需；帧预算</x:v>
      </x:c>
      <x:c r="J50" s="4" t="str">
        <x:v>What is the pose performed by the person in the video?</x:v>
      </x:c>
      <x:c r="K50" s="4" t="str">
        <x:v>已核对论文原生定义/模板；代表题沿用用户表，未逐条核对原始视频</x:v>
      </x:c>
      <x:c r="L50" s="4" t="str">
        <x:v>论文定义级核对；代表题按工作簿题干分析；未逐题观看视频</x:v>
      </x:c>
      <x:c r="M50" s="4" t="str">
        <x:v>https://arxiv.org/pdf/2311.17005</x:v>
      </x:c>
      <x:c r="N50" s="4" t="str">
        <x:v>§3.1；Table 1</x:v>
      </x:c>
      <x:c r="O50" s="4" t="str">
        <x:v>https://huggingface.co/datasets/OpenGVLab/MVBench</x:v>
      </x:c>
    </x:row>
    <x:row r="51" ht="46" customHeight="1">
      <x:c r="A51" s="4" t="str">
        <x:v>src.mvbench.moving_attribute</x:v>
      </x:c>
      <x:c r="B51" s="4" t="str">
        <x:v>MVBench</x:v>
      </x:c>
      <x:c r="C51" s="4" t="str">
        <x:v>Moving Attribute</x:v>
      </x:c>
      <x:c r="D51" s="4" t="str">
        <x:v>P01</x:v>
      </x:c>
      <x:c r="E51" s="14" t="str">
        <x:v>R2</x:v>
      </x:c>
      <x:c r="F51" s="14" t="str">
        <x:v>R2</x:v>
      </x:c>
      <x:c r="G51" s="4" t="str">
        <x:v>R1 | R2</x:v>
      </x:c>
      <x:c r="H51" s="4" t="str">
        <x:v>先用邻帧确定moving目标，再读形状；不能只看首帧判断运动。</x:v>
      </x:c>
      <x:c r="I51" s="4" t="str">
        <x:v>有序视频；锚点/追踪按需；帧预算</x:v>
      </x:c>
      <x:c r="J51" s="4" t="str">
        <x:v>What shape is the moving object when the video begins?</x:v>
      </x:c>
      <x:c r="K51" s="4" t="str">
        <x:v>已核对论文原生定义/模板；代表题沿用用户表，未逐条核对原始视频</x:v>
      </x:c>
      <x:c r="L51" s="4" t="str">
        <x:v>论文定义级核对；代表题按工作簿题干分析；未逐题观看视频</x:v>
      </x:c>
      <x:c r="M51" s="4" t="str">
        <x:v>https://arxiv.org/pdf/2311.17005</x:v>
      </x:c>
      <x:c r="N51" s="4" t="str">
        <x:v>§3.1；Table 1</x:v>
      </x:c>
      <x:c r="O51" s="4" t="str">
        <x:v>https://huggingface.co/datasets/OpenGVLab/MVBench</x:v>
      </x:c>
    </x:row>
    <x:row r="52" ht="46" customHeight="1">
      <x:c r="A52" s="4" t="str">
        <x:v>src.mvbench.moving_count</x:v>
      </x:c>
      <x:c r="B52" s="4" t="str">
        <x:v>MVBench</x:v>
      </x:c>
      <x:c r="C52" s="4" t="str">
        <x:v>Moving Count</x:v>
      </x:c>
      <x:c r="D52" s="4" t="str">
        <x:v>P02</x:v>
      </x:c>
      <x:c r="E52" s="14" t="str">
        <x:v>R4</x:v>
      </x:c>
      <x:c r="F52" s="14" t="str">
        <x:v>R4</x:v>
      </x:c>
      <x:c r="G52" s="4" t="str">
        <x:v>R4</x:v>
      </x:c>
      <x:c r="H52" s="4" t="str">
        <x:v>问多少个金属物体离开，是满足运动条件的不同实体数，不是累计exit事件次数。</x:v>
      </x:c>
      <x:c r="I52" s="4" t="str">
        <x:v>有序视频；锚点/追踪按需；帧预算</x:v>
      </x:c>
      <x:c r="J52" s="4" t="str">
        <x:v>How many metal objects exit the scene?</x:v>
      </x:c>
      <x:c r="K52" s="4" t="str">
        <x:v>已核对论文原生定义/模板；代表题沿用用户表，未逐条核对原始视频</x:v>
      </x:c>
      <x:c r="L52" s="4" t="str">
        <x:v>论文定义级核对；代表题按工作簿题干分析；未逐题观看视频</x:v>
      </x:c>
      <x:c r="M52" s="4" t="str">
        <x:v>https://arxiv.org/pdf/2311.17005</x:v>
      </x:c>
      <x:c r="N52" s="4" t="str">
        <x:v>§3.1；Table 1</x:v>
      </x:c>
      <x:c r="O52" s="4" t="str">
        <x:v>https://huggingface.co/datasets/OpenGVLab/MVBench</x:v>
      </x:c>
    </x:row>
    <x:row r="53" ht="46" customHeight="1">
      <x:c r="A53" s="4" t="str">
        <x:v>src.mvbench.moving_direction</x:v>
      </x:c>
      <x:c r="B53" s="4" t="str">
        <x:v>MVBench</x:v>
      </x:c>
      <x:c r="C53" s="4" t="str">
        <x:v>Moving Direction</x:v>
      </x:c>
      <x:c r="D53" s="4" t="str">
        <x:v>P02</x:v>
      </x:c>
      <x:c r="E53" s="14" t="str">
        <x:v>R2</x:v>
      </x:c>
      <x:c r="F53" s="14" t="str">
        <x:v>R2</x:v>
      </x:c>
      <x:c r="G53" s="4" t="str">
        <x:v>R2</x:v>
      </x:c>
      <x:c r="H53" s="4" t="str">
        <x:v>连续位置变化与方向；维护目标身份并处理相机参考系。</x:v>
      </x:c>
      <x:c r="I53" s="4" t="str">
        <x:v>有序视频；锚点/追踪按需；帧预算</x:v>
      </x:c>
      <x:c r="J53" s="4" t="str">
        <x:v>What direction is the cyan sphere moving within the video?</x:v>
      </x:c>
      <x:c r="K53" s="4" t="str">
        <x:v>已核对论文原生定义/模板；代表题沿用用户表，未逐条核对原始视频</x:v>
      </x:c>
      <x:c r="L53" s="4" t="str">
        <x:v>论文定义级核对；代表题按工作簿题干分析；未逐题观看视频</x:v>
      </x:c>
      <x:c r="M53" s="4" t="str">
        <x:v>https://arxiv.org/pdf/2311.17005</x:v>
      </x:c>
      <x:c r="N53" s="4" t="str">
        <x:v>§3.1；Table 1</x:v>
      </x:c>
      <x:c r="O53" s="4" t="str">
        <x:v>https://huggingface.co/datasets/OpenGVLab/MVBench</x:v>
      </x:c>
    </x:row>
    <x:row r="54" ht="52" customHeight="1">
      <x:c r="A54" s="4" t="str">
        <x:v>src.mvbench.object_existence</x:v>
      </x:c>
      <x:c r="B54" s="4" t="str">
        <x:v>MVBench</x:v>
      </x:c>
      <x:c r="C54" s="4" t="str">
        <x:v>Object Existence</x:v>
      </x:c>
      <x:c r="D54" s="4" t="str">
        <x:v>P01</x:v>
      </x:c>
      <x:c r="E54" s="14" t="str">
        <x:v>R2</x:v>
      </x:c>
      <x:c r="F54" s="14" t="str">
        <x:v>R2</x:v>
      </x:c>
      <x:c r="G54" s="4" t="str">
        <x:v>R1 | R2 | R4</x:v>
      </x:c>
      <x:c r="H54" s="4" t="str">
        <x:v>示例moving green需要末段邻帧识别运动；普通可见存在性可R1，全范围否定需R4覆盖。</x:v>
      </x:c>
      <x:c r="I54" s="4" t="str">
        <x:v>有序视频；锚点/追踪按需；帧预算</x:v>
      </x:c>
      <x:c r="J54" s="4" t="str">
        <x:v>Are there any moving green objects when the video ends?</x:v>
      </x:c>
      <x:c r="K54" s="4" t="str">
        <x:v>已核对论文原生定义/模板；代表题沿用用户表，未逐条核对原始视频</x:v>
      </x:c>
      <x:c r="L54" s="4" t="str">
        <x:v>论文定义级核对；代表题按工作簿题干分析；未逐题观看视频</x:v>
      </x:c>
      <x:c r="M54" s="4" t="str">
        <x:v>https://arxiv.org/pdf/2311.17005</x:v>
      </x:c>
      <x:c r="N54" s="4" t="str">
        <x:v>§3.1；Table 1</x:v>
      </x:c>
      <x:c r="O54" s="4" t="str">
        <x:v>https://huggingface.co/datasets/OpenGVLab/MVBench</x:v>
      </x:c>
    </x:row>
    <x:row r="55" ht="46" customHeight="1">
      <x:c r="A55" s="4" t="str">
        <x:v>src.mvbench.object_interaction</x:v>
      </x:c>
      <x:c r="B55" s="4" t="str">
        <x:v>MVBench</x:v>
      </x:c>
      <x:c r="C55" s="4" t="str">
        <x:v>Object Interaction</x:v>
      </x:c>
      <x:c r="D55" s="4" t="str">
        <x:v>P11</x:v>
      </x:c>
      <x:c r="E55" s="14" t="str">
        <x:v>R1</x:v>
      </x:c>
      <x:c r="F55" s="14" t="str">
        <x:v>R1</x:v>
      </x:c>
      <x:c r="G55" s="4" t="str">
        <x:v>R1 | R2 | R6</x:v>
      </x:c>
      <x:c r="H55" s="4" t="str">
        <x:v>识别被整理的物体是局部主体-动作-客体绑定，不自动是多跳推理。</x:v>
      </x:c>
      <x:c r="I55" s="4" t="str">
        <x:v>有序视频；锚点/追踪按需；帧预算</x:v>
      </x:c>
      <x:c r="J55" s="4" t="str">
        <x:v>Which object was tidied up by the person?</x:v>
      </x:c>
      <x:c r="K55" s="4" t="str">
        <x:v>已核对论文原生定义/模板；代表题沿用用户表，未逐条核对原始视频</x:v>
      </x:c>
      <x:c r="L55" s="4" t="str">
        <x:v>论文定义级核对；代表题按工作簿题干分析；未逐题观看视频</x:v>
      </x:c>
      <x:c r="M55" s="4" t="str">
        <x:v>https://arxiv.org/pdf/2311.17005</x:v>
      </x:c>
      <x:c r="N55" s="4" t="str">
        <x:v>§3.1；Table 1</x:v>
      </x:c>
      <x:c r="O55" s="4" t="str">
        <x:v>https://huggingface.co/datasets/OpenGVLab/MVBench</x:v>
      </x:c>
    </x:row>
    <x:row r="56" ht="52" customHeight="1">
      <x:c r="A56" s="4" t="str">
        <x:v>src.mvbench.object_shuffle</x:v>
      </x:c>
      <x:c r="B56" s="4" t="str">
        <x:v>MVBench</x:v>
      </x:c>
      <x:c r="C56" s="4" t="str">
        <x:v>Object Shuffle</x:v>
      </x:c>
      <x:c r="D56" s="4" t="str">
        <x:v>P02</x:v>
      </x:c>
      <x:c r="E56" s="14" t="str">
        <x:v>R2</x:v>
      </x:c>
      <x:c r="F56" s="14" t="str">
        <x:v>R2</x:v>
      </x:c>
      <x:c r="G56" s="4" t="str">
        <x:v>R2</x:v>
      </x:c>
      <x:c r="H56" s="4" t="str">
        <x:v>遮挡游戏需传播身份和容器对应；最终截图不足。</x:v>
      </x:c>
      <x:c r="I56" s="4" t="str">
        <x:v>有序视频；锚点/追踪按需；帧预算</x:v>
      </x:c>
      <x:c r="J56" s="4" t="str">
        <x:v>Where is the hidden object at the end of the game from the person's point of view?</x:v>
      </x:c>
      <x:c r="K56" s="4" t="str">
        <x:v>已核对论文原生定义/模板；代表题沿用用户表，未逐条核对原始视频</x:v>
      </x:c>
      <x:c r="L56" s="4" t="str">
        <x:v>论文定义级核对；代表题按工作簿题干分析；未逐题观看视频</x:v>
      </x:c>
      <x:c r="M56" s="4" t="str">
        <x:v>https://arxiv.org/pdf/2311.17005</x:v>
      </x:c>
      <x:c r="N56" s="4" t="str">
        <x:v>§3.1；Table 1</x:v>
      </x:c>
      <x:c r="O56" s="4" t="str">
        <x:v>https://huggingface.co/datasets/OpenGVLab/MVBench</x:v>
      </x:c>
    </x:row>
    <x:row r="57" ht="46" customHeight="1">
      <x:c r="A57" s="4" t="str">
        <x:v>src.mvbench.scene_transition</x:v>
      </x:c>
      <x:c r="B57" s="4" t="str">
        <x:v>MVBench</x:v>
      </x:c>
      <x:c r="C57" s="4" t="str">
        <x:v>Scene Transition</x:v>
      </x:c>
      <x:c r="D57" s="4" t="str">
        <x:v>P06</x:v>
      </x:c>
      <x:c r="E57" s="14" t="str">
        <x:v>R3</x:v>
      </x:c>
      <x:c r="F57" s="14" t="str">
        <x:v>R3</x:v>
      </x:c>
      <x:c r="G57" s="4" t="str">
        <x:v>R2 | R3</x:v>
      </x:c>
      <x:c r="H57" s="4" t="str">
        <x:v>比较视频场景按时间的转移；同一场景属性改变才是R2。</x:v>
      </x:c>
      <x:c r="I57" s="4" t="str">
        <x:v>有序视频；锚点/追踪按需；帧预算</x:v>
      </x:c>
      <x:c r="J57" s="4" t="str">
        <x:v>What's the right option for how the scenes in the video change?</x:v>
      </x:c>
      <x:c r="K57" s="4" t="str">
        <x:v>已核对论文原生定义/模板；代表题沿用用户表，未逐条核对原始视频</x:v>
      </x:c>
      <x:c r="L57" s="4" t="str">
        <x:v>论文定义级核对；代表题按工作簿题干分析；未逐题观看视频</x:v>
      </x:c>
      <x:c r="M57" s="4" t="str">
        <x:v>https://arxiv.org/pdf/2311.17005</x:v>
      </x:c>
      <x:c r="N57" s="4" t="str">
        <x:v>§3.1；Table 1</x:v>
      </x:c>
      <x:c r="O57" s="4" t="str">
        <x:v>https://huggingface.co/datasets/OpenGVLab/MVBench</x:v>
      </x:c>
    </x:row>
    <x:row r="58" ht="52" customHeight="1">
      <x:c r="A58" s="4" t="str">
        <x:v>src.mvbench.state_change</x:v>
      </x:c>
      <x:c r="B58" s="4" t="str">
        <x:v>MVBench</x:v>
      </x:c>
      <x:c r="C58" s="4" t="str">
        <x:v>State Change</x:v>
      </x:c>
      <x:c r="D58" s="4" t="str">
        <x:v>P06</x:v>
      </x:c>
      <x:c r="E58" s="14" t="str">
        <x:v>R2</x:v>
      </x:c>
      <x:c r="F58" s="14" t="str">
        <x:v>R1</x:v>
      </x:c>
      <x:c r="G58" s="4" t="str">
        <x:v>R1 | R2 | R4</x:v>
      </x:c>
      <x:c r="H58" s="4" t="str">
        <x:v>原定义是状态改变；表内on at any point是状态存在性，正例只需证据，负例需覆盖。</x:v>
      </x:c>
      <x:c r="I58" s="4" t="str">
        <x:v>有序视频；锚点/追踪按需；帧预算</x:v>
      </x:c>
      <x:c r="J58" s="4" t="str">
        <x:v>Is the lighting device on at any point?</x:v>
      </x:c>
      <x:c r="K58" s="4" t="str">
        <x:v>已核对论文原生定义/模板；代表题沿用用户表，未逐条核对原始视频</x:v>
      </x:c>
      <x:c r="L58" s="4" t="str">
        <x:v>论文定义级核对；代表题按工作簿题干分析；未逐题观看视频</x:v>
      </x:c>
      <x:c r="M58" s="4" t="str">
        <x:v>https://arxiv.org/pdf/2311.17005</x:v>
      </x:c>
      <x:c r="N58" s="4" t="str">
        <x:v>§3.1；Table 1</x:v>
      </x:c>
      <x:c r="O58" s="4" t="str">
        <x:v>https://huggingface.co/datasets/OpenGVLab/MVBench</x:v>
      </x:c>
    </x:row>
    <x:row r="59" ht="46" customHeight="1">
      <x:c r="A59" s="4" t="str">
        <x:v>src.mvbench.unexpected_action</x:v>
      </x:c>
      <x:c r="B59" s="4" t="str">
        <x:v>MVBench</x:v>
      </x:c>
      <x:c r="C59" s="4" t="str">
        <x:v>Unexpected Action</x:v>
      </x:c>
      <x:c r="D59" s="4" t="str">
        <x:v>P14</x:v>
      </x:c>
      <x:c r="E59" s="14" t="str">
        <x:v>R1</x:v>
      </x:c>
      <x:c r="F59" s="14" t="str">
        <x:v>R1</x:v>
      </x:c>
      <x:c r="G59" s="4" t="str">
        <x:v>R1 | R6</x:v>
      </x:c>
      <x:c r="H59" s="4" t="str">
        <x:v>问发生了什么意外事件优先检测取证；解释幽默/预期违反才需R6。</x:v>
      </x:c>
      <x:c r="I59" s="4" t="str">
        <x:v>有序视频；锚点/追踪按需；帧预算</x:v>
      </x:c>
      <x:c r="J59" s="4" t="str">
        <x:v>What unexpected event contributes to the humor in the video?</x:v>
      </x:c>
      <x:c r="K59" s="4" t="str">
        <x:v>已核对论文原生定义/模板；代表题沿用用户表，未逐条核对原始视频</x:v>
      </x:c>
      <x:c r="L59" s="4" t="str">
        <x:v>论文定义级核对；代表题按工作簿题干分析；未逐题观看视频</x:v>
      </x:c>
      <x:c r="M59" s="4" t="str">
        <x:v>https://arxiv.org/pdf/2311.17005</x:v>
      </x:c>
      <x:c r="N59" s="4" t="str">
        <x:v>§3.1；Table 1</x:v>
      </x:c>
      <x:c r="O59" s="4" t="str">
        <x:v>https://huggingface.co/datasets/OpenGVLab/MVBench</x:v>
      </x:c>
    </x:row>
    <x:row r="60" ht="52" customHeight="1">
      <x:c r="A60" s="4" t="str">
        <x:v>src.tomato.action_count</x:v>
      </x:c>
      <x:c r="B60" s="4" t="str">
        <x:v>TOMATO</x:v>
      </x:c>
      <x:c r="C60" s="4" t="str">
        <x:v>Action Count</x:v>
      </x:c>
      <x:c r="D60" s="4" t="str">
        <x:v>P05</x:v>
      </x:c>
      <x:c r="E60" s="14" t="str">
        <x:v>R3</x:v>
      </x:c>
      <x:c r="F60" s="14" t="str">
        <x:v>R3</x:v>
      </x:c>
      <x:c r="G60" s="4" t="str">
        <x:v>R3</x:v>
      </x:c>
      <x:c r="H60" s="4" t="str">
        <x:v>空中画梯形的次数为完整轨迹事件数；轨迹识别是必要组件，账本防跨窗双计。</x:v>
      </x:c>
      <x:c r="I60" s="4" t="str">
        <x:v>轨迹检测；occurrence边界</x:v>
      </x:c>
      <x:c r="J60" s="4" t="str">
        <x:v>How many trapezoid(s) does the person draw in the air throughout the entire video?</x:v>
      </x:c>
      <x:c r="K60" s="4" t="str">
        <x:v>已核对论文原生定义/模板；代表题沿用用户表，未逐条核对原始视频</x:v>
      </x:c>
      <x:c r="L60" s="4" t="str">
        <x:v>论文定义级核对；代表题按工作簿题干分析；未逐题观看视频</x:v>
      </x:c>
      <x:c r="M60" s="4" t="str">
        <x:v>https://arxiv.org/html/2410.23266v2</x:v>
      </x:c>
      <x:c r="N60" s="4" t="str">
        <x:v>§4.1；Table 2；Appendix E</x:v>
      </x:c>
      <x:c r="O60" s="4" t="str">
        <x:v>https://github.com/yale-nlp/TOMATO</x:v>
      </x:c>
    </x:row>
    <x:row r="61" ht="46" customHeight="1">
      <x:c r="A61" s="4" t="str">
        <x:v>src.tomato.direction</x:v>
      </x:c>
      <x:c r="B61" s="4" t="str">
        <x:v>TOMATO</x:v>
      </x:c>
      <x:c r="C61" s="4" t="str">
        <x:v>Direction</x:v>
      </x:c>
      <x:c r="D61" s="4" t="str">
        <x:v>P02</x:v>
      </x:c>
      <x:c r="E61" s="14" t="str">
        <x:v>R2</x:v>
      </x:c>
      <x:c r="F61" s="14" t="str">
        <x:v>R2</x:v>
      </x:c>
      <x:c r="G61" s="4" t="str">
        <x:v>R2</x:v>
      </x:c>
      <x:c r="H61" s="4" t="str">
        <x:v>运动方向由轨迹求得。</x:v>
      </x:c>
      <x:c r="I61" s="4" t="str">
        <x:v>连续帧；真实时间戳；速度/相位查询头</x:v>
      </x:c>
      <x:c r="J61" s="4" t="str">
        <x:v>In which direction(s) did the person's hand move?</x:v>
      </x:c>
      <x:c r="K61" s="4" t="str">
        <x:v>已核对论文原生定义/模板；代表题沿用用户表，未逐条核对原始视频</x:v>
      </x:c>
      <x:c r="L61" s="4" t="str">
        <x:v>论文定义级核对；代表题按工作簿题干分析；未逐题观看视频</x:v>
      </x:c>
      <x:c r="M61" s="4" t="str">
        <x:v>https://arxiv.org/html/2410.23266v2</x:v>
      </x:c>
      <x:c r="N61" s="4" t="str">
        <x:v>§4.1；Table 2；Appendix E</x:v>
      </x:c>
      <x:c r="O61" s="4" t="str">
        <x:v>https://github.com/yale-nlp/TOMATO</x:v>
      </x:c>
    </x:row>
    <x:row r="62" ht="46" customHeight="1">
      <x:c r="A62" s="4" t="str">
        <x:v>src.tomato.rotation</x:v>
      </x:c>
      <x:c r="B62" s="4" t="str">
        <x:v>TOMATO</x:v>
      </x:c>
      <x:c r="C62" s="4" t="str">
        <x:v>Rotation</x:v>
      </x:c>
      <x:c r="D62" s="4" t="str">
        <x:v>P02</x:v>
      </x:c>
      <x:c r="E62" s="14" t="str">
        <x:v>R2</x:v>
      </x:c>
      <x:c r="F62" s="14" t="str">
        <x:v>R2</x:v>
      </x:c>
      <x:c r="G62" s="4" t="str">
        <x:v>R2</x:v>
      </x:c>
      <x:c r="H62" s="4" t="str">
        <x:v>旋转方向/反转依赖有序轨迹。</x:v>
      </x:c>
      <x:c r="I62" s="4" t="str">
        <x:v>连续帧；真实时间戳；速度/相位查询头</x:v>
      </x:c>
      <x:c r="J62" s="4" t="str">
        <x:v>Which direction(s) does the person's hand rotate in?</x:v>
      </x:c>
      <x:c r="K62" s="4" t="str">
        <x:v>已核对论文原生定义/模板；代表题沿用用户表，未逐条核对原始视频</x:v>
      </x:c>
      <x:c r="L62" s="4" t="str">
        <x:v>论文定义级核对；代表题按工作簿题干分析；未逐题观看视频</x:v>
      </x:c>
      <x:c r="M62" s="4" t="str">
        <x:v>https://arxiv.org/html/2410.23266v2</x:v>
      </x:c>
      <x:c r="N62" s="4" t="str">
        <x:v>§4.1；Table 2；Appendix E</x:v>
      </x:c>
      <x:c r="O62" s="4" t="str">
        <x:v>https://github.com/yale-nlp/TOMATO</x:v>
      </x:c>
    </x:row>
    <x:row r="63" ht="46" customHeight="1">
      <x:c r="A63" s="4" t="str">
        <x:v>src.tomato.shape_trend</x:v>
      </x:c>
      <x:c r="B63" s="4" t="str">
        <x:v>TOMATO</x:v>
      </x:c>
      <x:c r="C63" s="4" t="str">
        <x:v>Shape &amp; Trend</x:v>
      </x:c>
      <x:c r="D63" s="4" t="str">
        <x:v>P02</x:v>
      </x:c>
      <x:c r="E63" s="14" t="str">
        <x:v>R2</x:v>
      </x:c>
      <x:c r="F63" s="14" t="str">
        <x:v>R2</x:v>
      </x:c>
      <x:c r="G63" s="4" t="str">
        <x:v>R2</x:v>
      </x:c>
      <x:c r="H63" s="4" t="str">
        <x:v>空中画图的形状来自轨迹，不是静态物体轮廓。</x:v>
      </x:c>
      <x:c r="I63" s="4" t="str">
        <x:v>连续帧；真实时间戳；速度/相位查询头</x:v>
      </x:c>
      <x:c r="J63" s="4" t="str">
        <x:v>What is the shape of the object that the person drew in the air?</x:v>
      </x:c>
      <x:c r="K63" s="4" t="str">
        <x:v>已核对论文原生定义/模板；代表题沿用用户表，未逐条核对原始视频</x:v>
      </x:c>
      <x:c r="L63" s="4" t="str">
        <x:v>论文定义级核对；代表题按工作簿题干分析；未逐题观看视频</x:v>
      </x:c>
      <x:c r="M63" s="4" t="str">
        <x:v>https://arxiv.org/html/2410.23266v2</x:v>
      </x:c>
      <x:c r="N63" s="4" t="str">
        <x:v>§4.1；Table 2；Appendix E</x:v>
      </x:c>
      <x:c r="O63" s="4" t="str">
        <x:v>https://github.com/yale-nlp/TOMATO</x:v>
      </x:c>
    </x:row>
    <x:row r="64" ht="46" customHeight="1">
      <x:c r="A64" s="4" t="str">
        <x:v>src.tomato.velocity_frequency</x:v>
      </x:c>
      <x:c r="B64" s="4" t="str">
        <x:v>TOMATO</x:v>
      </x:c>
      <x:c r="C64" s="4" t="str">
        <x:v>Velocity &amp; Frequency</x:v>
      </x:c>
      <x:c r="D64" s="4" t="str">
        <x:v>P03</x:v>
      </x:c>
      <x:c r="E64" s="14" t="str">
        <x:v>R2</x:v>
      </x:c>
      <x:c r="F64" s="14" t="str">
        <x:v>R2</x:v>
      </x:c>
      <x:c r="G64" s="4" t="str">
        <x:v>R2</x:v>
      </x:c>
      <x:c r="H64" s="4" t="str">
        <x:v>加减速与频率模式共享时间序列；不是每道题都具有周期性。</x:v>
      </x:c>
      <x:c r="I64" s="4" t="str">
        <x:v>连续帧；真实时间戳；速度/相位查询头</x:v>
      </x:c>
      <x:c r="J64" s="4" t="str">
        <x:v>What is the pattern of the person's hand's rotation speed?</x:v>
      </x:c>
      <x:c r="K64" s="4" t="str">
        <x:v>已核对论文原生定义/模板；代表题沿用用户表，未逐条核对原始视频</x:v>
      </x:c>
      <x:c r="L64" s="4" t="str">
        <x:v>论文定义级核对；代表题按工作簿题干分析；未逐题观看视频</x:v>
      </x:c>
      <x:c r="M64" s="4" t="str">
        <x:v>https://arxiv.org/html/2410.23266v2</x:v>
      </x:c>
      <x:c r="N64" s="4" t="str">
        <x:v>§4.1；Table 2；Appendix E</x:v>
      </x:c>
      <x:c r="O64" s="4" t="str">
        <x:v>https://github.com/yale-nlp/TOMATO</x:v>
      </x:c>
    </x:row>
    <x:row r="65" ht="46" customHeight="1">
      <x:c r="A65" s="4" t="str">
        <x:v>src.tomato.visual_cues</x:v>
      </x:c>
      <x:c r="B65" s="4" t="str">
        <x:v>TOMATO</x:v>
      </x:c>
      <x:c r="C65" s="4" t="str">
        <x:v>Visual Cues</x:v>
      </x:c>
      <x:c r="D65" s="4" t="str">
        <x:v>P07</x:v>
      </x:c>
      <x:c r="E65" s="14" t="str">
        <x:v>R3</x:v>
      </x:c>
      <x:c r="F65" s="14" t="str">
        <x:v>R3</x:v>
      </x:c>
      <x:c r="G65" s="4" t="str">
        <x:v>R2 | R3</x:v>
      </x:c>
      <x:c r="H65" s="4" t="str">
        <x:v>§4.1明确无音频，凭可见演奏动作判断先后/时机；sounds不授权音频。</x:v>
      </x:c>
      <x:c r="I65" s="4" t="str">
        <x:v>纯视觉动作起止；时间排序</x:v>
      </x:c>
      <x:c r="J65" s="4" t="str">
        <x:v>Which musical instrument sounds last?</x:v>
      </x:c>
      <x:c r="K65" s="4" t="str">
        <x:v>已核对论文原生定义/模板；代表题沿用用户表，未逐条核对原始视频</x:v>
      </x:c>
      <x:c r="L65" s="4" t="str">
        <x:v>论文定义级核对；代表题按工作簿题干分析；未逐题观看视频</x:v>
      </x:c>
      <x:c r="M65" s="4" t="str">
        <x:v>https://arxiv.org/html/2410.23266v2</x:v>
      </x:c>
      <x:c r="N65" s="4" t="str">
        <x:v>§4.1；Table 2；Appendix E</x:v>
      </x:c>
      <x:c r="O65" s="4" t="str">
        <x:v>https://github.com/yale-nlp/TOMATO</x:v>
      </x:c>
    </x:row>
    <x:row r="66" ht="46" customHeight="1">
      <x:c r="A66" s="4" t="str">
        <x:v>src.tvbench.action_antonym</x:v>
      </x:c>
      <x:c r="B66" s="4" t="str">
        <x:v>TVBench</x:v>
      </x:c>
      <x:c r="C66" s="4" t="str">
        <x:v>Action Antonym</x:v>
      </x:c>
      <x:c r="D66" s="4" t="str">
        <x:v>P01</x:v>
      </x:c>
      <x:c r="E66" s="14" t="str">
        <x:v>R2</x:v>
      </x:c>
      <x:c r="F66" s="14" t="str">
        <x:v>R2</x:v>
      </x:c>
      <x:c r="G66" s="4" t="str">
        <x:v>R2</x:v>
      </x:c>
      <x:c r="H66" s="4" t="str">
        <x:v>官方示例戴帽/摘帽、坐下/站起；必须辨别动态方向。</x:v>
      </x:c>
      <x:c r="I66" s="4" t="str">
        <x:v>有序帧；动作/运动检测；范围覆盖</x:v>
      </x:c>
      <x:c r="J66" s="4" t="str">
        <x:v>What is the action being performed in the video?</x:v>
      </x:c>
      <x:c r="K66" s="4" t="str">
        <x:v>已核对论文原生定义/模板；代表题沿用用户表，未逐条核对原始视频</x:v>
      </x:c>
      <x:c r="L66" s="4" t="str">
        <x:v>原论文模板核对；执行归类为设计建议</x:v>
      </x:c>
      <x:c r="M66" s="4" t="str">
        <x:v>https://arxiv.org/html/2410.07752v2</x:v>
      </x:c>
      <x:c r="N66" s="4" t="str">
        <x:v>§5；Appendix A.2 / Table 5</x:v>
      </x:c>
      <x:c r="O66" s="4" t="str">
        <x:v>https://huggingface.co/datasets/FunAILab/TVBench</x:v>
      </x:c>
    </x:row>
    <x:row r="67" ht="66" customHeight="1">
      <x:c r="A67" s="4" t="str">
        <x:v>src.tvbench.action_count</x:v>
      </x:c>
      <x:c r="B67" s="4" t="str">
        <x:v>TVBench</x:v>
      </x:c>
      <x:c r="C67" s="4" t="str">
        <x:v>Action Count</x:v>
      </x:c>
      <x:c r="D67" s="4" t="str">
        <x:v>P08</x:v>
      </x:c>
      <x:c r="E67" s="14" t="str">
        <x:v>R4</x:v>
      </x:c>
      <x:c r="F67" s="14" t="str">
        <x:v>R4</x:v>
      </x:c>
      <x:c r="G67" s="4" t="str">
        <x:v>R3 | R4</x:v>
      </x:c>
      <x:c r="H67" s="4" t="str">
        <x:v>模板强调sets/distinct repeated actions。暂保留动作种类/组的去重清单解释；必须复核原视频/标注计数单位，不能自动当作MVBench动作次数。</x:v>
      </x:c>
      <x:c r="I67" s="4" t="str">
        <x:v>有序帧；动作/运动检测；范围覆盖</x:v>
      </x:c>
      <x:c r="J67" s="4" t="str">
        <x:v>The person makes sets of repeated actions. How many distinct repeated actions did the person do?</x:v>
      </x:c>
      <x:c r="K67" s="4" t="str">
        <x:v>已核对论文原生定义/模板；代表题沿用用户表，未逐条核对原始视频</x:v>
      </x:c>
      <x:c r="L67" s="4" t="str">
        <x:v>待视频/标注计数单位复核；不宣称原P08错误</x:v>
      </x:c>
      <x:c r="M67" s="4" t="str">
        <x:v>https://arxiv.org/html/2410.07752v2</x:v>
      </x:c>
      <x:c r="N67" s="4" t="str">
        <x:v>§5；Appendix A.2 / Table 5</x:v>
      </x:c>
      <x:c r="O67" s="4" t="str">
        <x:v>https://huggingface.co/datasets/FunAILab/TVBench</x:v>
      </x:c>
    </x:row>
    <x:row r="68" ht="52" customHeight="1">
      <x:c r="A68" s="4" t="str">
        <x:v>src.tvbench.action_localization</x:v>
      </x:c>
      <x:c r="B68" s="4" t="str">
        <x:v>TVBench</x:v>
      </x:c>
      <x:c r="C68" s="4" t="str">
        <x:v>Action Localization</x:v>
      </x:c>
      <x:c r="D68" s="4" t="str">
        <x:v>P07</x:v>
      </x:c>
      <x:c r="E68" s="14" t="str">
        <x:v>R3</x:v>
      </x:c>
      <x:c r="F68" s="14" t="str">
        <x:v>R3</x:v>
      </x:c>
      <x:c r="G68" s="4" t="str">
        <x:v>R3</x:v>
      </x:c>
      <x:c r="H68" s="4" t="str">
        <x:v>动作时间区间映射到beginning/middle/end等选项。</x:v>
      </x:c>
      <x:c r="I68" s="4" t="str">
        <x:v>有序帧；动作/运动检测；范围覆盖</x:v>
      </x:c>
      <x:c r="J68" s="4" t="str">
        <x:v>During which part of the video does the action 'person takes a blanket' occur?</x:v>
      </x:c>
      <x:c r="K68" s="4" t="str">
        <x:v>已核对论文原生定义/模板；代表题沿用用户表，未逐条核对原始视频</x:v>
      </x:c>
      <x:c r="L68" s="4" t="str">
        <x:v>原论文模板核对；执行归类为设计建议</x:v>
      </x:c>
      <x:c r="M68" s="4" t="str">
        <x:v>https://arxiv.org/html/2410.07752v2</x:v>
      </x:c>
      <x:c r="N68" s="4" t="str">
        <x:v>§5；Appendix A.2 / Table 5</x:v>
      </x:c>
      <x:c r="O68" s="4" t="str">
        <x:v>https://huggingface.co/datasets/FunAILab/TVBench</x:v>
      </x:c>
    </x:row>
    <x:row r="69" ht="46" customHeight="1">
      <x:c r="A69" s="4" t="str">
        <x:v>src.tvbench.action_sequence</x:v>
      </x:c>
      <x:c r="B69" s="4" t="str">
        <x:v>TVBench</x:v>
      </x:c>
      <x:c r="C69" s="4" t="str">
        <x:v>Action Sequence</x:v>
      </x:c>
      <x:c r="D69" s="4" t="str">
        <x:v>P06</x:v>
      </x:c>
      <x:c r="E69" s="14" t="str">
        <x:v>R3</x:v>
      </x:c>
      <x:c r="F69" s="14" t="str">
        <x:v>R3</x:v>
      </x:c>
      <x:c r="G69" s="4" t="str">
        <x:v>R3</x:v>
      </x:c>
      <x:c r="H69" s="4" t="str">
        <x:v>first要求事件时间排序。</x:v>
      </x:c>
      <x:c r="I69" s="4" t="str">
        <x:v>有序帧；动作/运动检测；范围覆盖</x:v>
      </x:c>
      <x:c r="J69" s="4" t="str">
        <x:v>What did the person do first?</x:v>
      </x:c>
      <x:c r="K69" s="4" t="str">
        <x:v>已核对论文原生定义/模板；代表题沿用用户表，未逐条核对原始视频</x:v>
      </x:c>
      <x:c r="L69" s="4" t="str">
        <x:v>原论文模板核对；执行归类为设计建议</x:v>
      </x:c>
      <x:c r="M69" s="4" t="str">
        <x:v>https://arxiv.org/html/2410.07752v2</x:v>
      </x:c>
      <x:c r="N69" s="4" t="str">
        <x:v>§5；Appendix A.2 / Table 5</x:v>
      </x:c>
      <x:c r="O69" s="4" t="str">
        <x:v>https://huggingface.co/datasets/FunAILab/TVBench</x:v>
      </x:c>
    </x:row>
    <x:row r="70" ht="46" customHeight="1">
      <x:c r="A70" s="4" t="str">
        <x:v>src.tvbench.egocentric_sequence</x:v>
      </x:c>
      <x:c r="B70" s="4" t="str">
        <x:v>TVBench</x:v>
      </x:c>
      <x:c r="C70" s="4" t="str">
        <x:v>Egocentric Sequence</x:v>
      </x:c>
      <x:c r="D70" s="4" t="str">
        <x:v>P07</x:v>
      </x:c>
      <x:c r="E70" s="14" t="str">
        <x:v>R3</x:v>
      </x:c>
      <x:c r="F70" s="14" t="str">
        <x:v>R3</x:v>
      </x:c>
      <x:c r="G70" s="4" t="str">
        <x:v>R3</x:v>
      </x:c>
      <x:c r="H70" s="4" t="str">
        <x:v>第一人称不是独立推理算法；问题是动作序列。</x:v>
      </x:c>
      <x:c r="I70" s="4" t="str">
        <x:v>有序帧；动作/运动检测；范围覆盖</x:v>
      </x:c>
      <x:c r="J70" s="4" t="str">
        <x:v>What is the sequence of actions shown in the video?</x:v>
      </x:c>
      <x:c r="K70" s="4" t="str">
        <x:v>已核对论文原生定义/模板；代表题沿用用户表，未逐条核对原始视频</x:v>
      </x:c>
      <x:c r="L70" s="4" t="str">
        <x:v>原论文模板核对；执行归类为设计建议</x:v>
      </x:c>
      <x:c r="M70" s="4" t="str">
        <x:v>https://arxiv.org/html/2410.07752v2</x:v>
      </x:c>
      <x:c r="N70" s="4" t="str">
        <x:v>§5；Appendix A.2 / Table 5</x:v>
      </x:c>
      <x:c r="O70" s="4" t="str">
        <x:v>https://huggingface.co/datasets/FunAILab/TVBench</x:v>
      </x:c>
    </x:row>
    <x:row r="71" ht="46" customHeight="1">
      <x:c r="A71" s="4" t="str">
        <x:v>src.tvbench.moving_direction</x:v>
      </x:c>
      <x:c r="B71" s="4" t="str">
        <x:v>TVBench</x:v>
      </x:c>
      <x:c r="C71" s="4" t="str">
        <x:v>Moving Direction</x:v>
      </x:c>
      <x:c r="D71" s="4" t="str">
        <x:v>P02</x:v>
      </x:c>
      <x:c r="E71" s="14" t="str">
        <x:v>R2</x:v>
      </x:c>
      <x:c r="F71" s="14" t="str">
        <x:v>R2</x:v>
      </x:c>
      <x:c r="G71" s="4" t="str">
        <x:v>R2</x:v>
      </x:c>
      <x:c r="H71" s="4" t="str">
        <x:v>跨帧轨迹方向辨别。</x:v>
      </x:c>
      <x:c r="I71" s="4" t="str">
        <x:v>有序帧；动作/运动检测；范围覆盖</x:v>
      </x:c>
      <x:c r="J71" s="4" t="str">
        <x:v>Which direction does the gray cube move in the video?</x:v>
      </x:c>
      <x:c r="K71" s="4" t="str">
        <x:v>已核对论文原生定义/模板；代表题沿用用户表，未逐条核对原始视频</x:v>
      </x:c>
      <x:c r="L71" s="4" t="str">
        <x:v>原论文模板核对；执行归类为设计建议</x:v>
      </x:c>
      <x:c r="M71" s="4" t="str">
        <x:v>https://arxiv.org/html/2410.07752v2</x:v>
      </x:c>
      <x:c r="N71" s="4" t="str">
        <x:v>§5；Appendix A.2 / Table 5</x:v>
      </x:c>
      <x:c r="O71" s="4" t="str">
        <x:v>https://huggingface.co/datasets/FunAILab/TVBench</x:v>
      </x:c>
    </x:row>
    <x:row r="72" ht="46" customHeight="1">
      <x:c r="A72" s="4" t="str">
        <x:v>src.tvbench.object_count</x:v>
      </x:c>
      <x:c r="B72" s="4" t="str">
        <x:v>TVBench</x:v>
      </x:c>
      <x:c r="C72" s="4" t="str">
        <x:v>Object Count</x:v>
      </x:c>
      <x:c r="D72" s="4" t="str">
        <x:v>P16</x:v>
      </x:c>
      <x:c r="E72" s="14" t="str">
        <x:v>R4</x:v>
      </x:c>
      <x:c r="F72" s="14" t="str">
        <x:v>R4</x:v>
      </x:c>
      <x:c r="G72" s="4" t="str">
        <x:v>R4</x:v>
      </x:c>
      <x:c r="H72" s="4" t="str">
        <x:v>统计开头正在运动的金属实体；需邻帧运动筛选，再按实体去重，不能静态直接计数。</x:v>
      </x:c>
      <x:c r="I72" s="4" t="str">
        <x:v>有序帧；动作/运动检测；范围覆盖</x:v>
      </x:c>
      <x:c r="J72" s="4" t="str">
        <x:v>How many metal objects are moving when the video begins?</x:v>
      </x:c>
      <x:c r="K72" s="4" t="str">
        <x:v>已核对论文原生定义/模板；代表题沿用用户表，未逐条核对原始视频</x:v>
      </x:c>
      <x:c r="L72" s="4" t="str">
        <x:v>原论文模板核对；执行归类为设计建议</x:v>
      </x:c>
      <x:c r="M72" s="4" t="str">
        <x:v>https://arxiv.org/html/2410.07752v2</x:v>
      </x:c>
      <x:c r="N72" s="4" t="str">
        <x:v>§5；Appendix A.2 / Table 5</x:v>
      </x:c>
      <x:c r="O72" s="4" t="str">
        <x:v>https://huggingface.co/datasets/FunAILab/TVBench</x:v>
      </x:c>
    </x:row>
    <x:row r="73" ht="52" customHeight="1">
      <x:c r="A73" s="4" t="str">
        <x:v>src.tvbench.object_shuffle</x:v>
      </x:c>
      <x:c r="B73" s="4" t="str">
        <x:v>TVBench</x:v>
      </x:c>
      <x:c r="C73" s="4" t="str">
        <x:v>Object Shuffle</x:v>
      </x:c>
      <x:c r="D73" s="4" t="str">
        <x:v>P02</x:v>
      </x:c>
      <x:c r="E73" s="14" t="str">
        <x:v>R2</x:v>
      </x:c>
      <x:c r="F73" s="14" t="str">
        <x:v>R2</x:v>
      </x:c>
      <x:c r="G73" s="4" t="str">
        <x:v>R2</x:v>
      </x:c>
      <x:c r="H73" s="4" t="str">
        <x:v>遮挡目标位置需持续身份传播。</x:v>
      </x:c>
      <x:c r="I73" s="4" t="str">
        <x:v>有序帧；动作/运动检测；范围覆盖</x:v>
      </x:c>
      <x:c r="J73" s="4" t="str">
        <x:v>Where is the hidden object at the end of the game from the person's point of view?</x:v>
      </x:c>
      <x:c r="K73" s="4" t="str">
        <x:v>已核对论文原生定义/模板；代表题沿用用户表，未逐条核对原始视频</x:v>
      </x:c>
      <x:c r="L73" s="4" t="str">
        <x:v>原论文模板核对；执行归类为设计建议</x:v>
      </x:c>
      <x:c r="M73" s="4" t="str">
        <x:v>https://arxiv.org/html/2410.07752v2</x:v>
      </x:c>
      <x:c r="N73" s="4" t="str">
        <x:v>§5；Appendix A.2 / Table 5</x:v>
      </x:c>
      <x:c r="O73" s="4" t="str">
        <x:v>https://huggingface.co/datasets/FunAILab/TVBench</x:v>
      </x:c>
    </x:row>
    <x:row r="74" ht="46" customHeight="1">
      <x:c r="A74" s="4" t="str">
        <x:v>src.tvbench.scene_transition</x:v>
      </x:c>
      <x:c r="B74" s="4" t="str">
        <x:v>TVBench</x:v>
      </x:c>
      <x:c r="C74" s="4" t="str">
        <x:v>Scene Transition</x:v>
      </x:c>
      <x:c r="D74" s="4" t="str">
        <x:v>P06</x:v>
      </x:c>
      <x:c r="E74" s="14" t="str">
        <x:v>R3</x:v>
      </x:c>
      <x:c r="F74" s="14" t="str">
        <x:v>R3</x:v>
      </x:c>
      <x:c r="G74" s="4" t="str">
        <x:v>R3</x:v>
      </x:c>
      <x:c r="H74" s="4" t="str">
        <x:v>场景转换序列，不是一个通用锚点窗口类别。</x:v>
      </x:c>
      <x:c r="I74" s="4" t="str">
        <x:v>有序帧；动作/运动检测；范围覆盖</x:v>
      </x:c>
      <x:c r="J74" s="4" t="str">
        <x:v>What's the right option for how the scenes in the video change?</x:v>
      </x:c>
      <x:c r="K74" s="4" t="str">
        <x:v>已核对论文原生定义/模板；代表题沿用用户表，未逐条核对原始视频</x:v>
      </x:c>
      <x:c r="L74" s="4" t="str">
        <x:v>原论文模板核对；执行归类为设计建议</x:v>
      </x:c>
      <x:c r="M74" s="4" t="str">
        <x:v>https://arxiv.org/html/2410.07752v2</x:v>
      </x:c>
      <x:c r="N74" s="4" t="str">
        <x:v>§5；Appendix A.2 / Table 5</x:v>
      </x:c>
      <x:c r="O74" s="4" t="str">
        <x:v>https://huggingface.co/datasets/FunAILab/TVBench</x:v>
      </x:c>
    </x:row>
    <x:row r="75" ht="52" customHeight="1">
      <x:c r="A75" s="4" t="str">
        <x:v>src.tvbench.unexpected_action</x:v>
      </x:c>
      <x:c r="B75" s="4" t="str">
        <x:v>TVBench</x:v>
      </x:c>
      <x:c r="C75" s="4" t="str">
        <x:v>Unexpected Action</x:v>
      </x:c>
      <x:c r="D75" s="4" t="str">
        <x:v>P14</x:v>
      </x:c>
      <x:c r="E75" s="14" t="str">
        <x:v>R3</x:v>
      </x:c>
      <x:c r="F75" s="14" t="str">
        <x:v>R3</x:v>
      </x:c>
      <x:c r="G75" s="4" t="str">
        <x:v>R3</x:v>
      </x:c>
      <x:c r="H75" s="4" t="str">
        <x:v>官方模板要求Locate creative/amusing/mesmerizing part，终点是时间位置，不是异常原因解释。</x:v>
      </x:c>
      <x:c r="I75" s="4" t="str">
        <x:v>有序帧；动作/运动检测；范围覆盖</x:v>
      </x:c>
      <x:c r="J75" s="4" t="str">
        <x:v>Locate the creative/amusing/mesmerizing part of the video.</x:v>
      </x:c>
      <x:c r="K75" s="4" t="str">
        <x:v>已核对论文原生定义/模板；代表题沿用用户表，未逐条核对原始视频</x:v>
      </x:c>
      <x:c r="L75" s="4" t="str">
        <x:v>原论文模板核对；执行归类为设计建议</x:v>
      </x:c>
      <x:c r="M75" s="4" t="str">
        <x:v>https://arxiv.org/html/2410.07752v2</x:v>
      </x:c>
      <x:c r="N75" s="4" t="str">
        <x:v>§5；Appendix A.2 / Table 5</x:v>
      </x:c>
      <x:c r="O75" s="4" t="str">
        <x:v>https://huggingface.co/datasets/FunAILab/TVBench</x:v>
      </x:c>
    </x:row>
    <x:row r="76" ht="52" customHeight="1">
      <x:c r="A76" s="4" t="str">
        <x:v>src.video_mme.action_reasoning</x:v>
      </x:c>
      <x:c r="B76" s="4" t="str">
        <x:v>Video-MME</x:v>
      </x:c>
      <x:c r="C76" s="4" t="str">
        <x:v>Action Reasoning</x:v>
      </x:c>
      <x:c r="D76" s="4" t="str">
        <x:v>P11 | P15</x:v>
      </x:c>
      <x:c r="E76" s="14" t="str">
        <x:v>R6</x:v>
      </x:c>
      <x:c r="F76" s="14" t="str">
        <x:v>R6</x:v>
      </x:c>
      <x:c r="G76" s="4" t="str">
        <x:v>R1 | R6</x:v>
      </x:c>
      <x:c r="H76" s="4" t="str">
        <x:v>动机题若视频直接讲明，走R1；若需结合人物行为与背景才能推出，走R6。不能因Reasoning一词或专业背景统一归入符号求解。</x:v>
      </x:c>
      <x:c r="I76" s="4" t="str">
        <x:v>语音/字幕按协议；证据核验</x:v>
      </x:c>
      <x:c r="J76" s="4" t="str">
        <x:v>Which of the following reasons motivated the archaeologists to excavate the tomb?</x:v>
      </x:c>
      <x:c r="K76" s="4" t="str">
        <x:v>官方仓库链接的标注预览与工作簿题干对照；未观看完整视频</x:v>
      </x:c>
      <x:c r="L76" s="4" t="str">
        <x:v>论文定义级核对；代表题按工作簿题干分析；未逐题观看视频</x:v>
      </x:c>
      <x:c r="M76" s="4" t="str">
        <x:v>https://arxiv.org/html/2405.21075v3</x:v>
      </x:c>
      <x:c r="N76" s="4" t="str">
        <x:v>任务分类；官方仓库链接的 annotation viewer</x:v>
      </x:c>
      <x:c r="O76" s="4" t="str">
        <x:v>https://huggingface.co/datasets/lmms-eval/Video-MME</x:v>
      </x:c>
    </x:row>
    <x:row r="77" ht="52" customHeight="1">
      <x:c r="A77" s="4" t="str">
        <x:v>src.video_mme.action_recognition</x:v>
      </x:c>
      <x:c r="B77" s="4" t="str">
        <x:v>Video-MME</x:v>
      </x:c>
      <x:c r="C77" s="4" t="str">
        <x:v>Action Recognition</x:v>
      </x:c>
      <x:c r="D77" s="4" t="str">
        <x:v>P01 | P06 | P09</x:v>
      </x:c>
      <x:c r="E77" s="14" t="str">
        <x:v>R1</x:v>
      </x:c>
      <x:c r="F77" s="14" t="str">
        <x:v>R1</x:v>
      </x:c>
      <x:c r="G77" s="4" t="str">
        <x:v>R1 | R2</x:v>
      </x:c>
      <x:c r="H77" s="4" t="str">
        <x:v>识别一次庆祝行为通常是局部事件取证；需动作方向、细粒度过程或区分逆序动作的子题改R2。</x:v>
      </x:c>
      <x:c r="I77" s="4" t="str">
        <x:v>局部片段；必要时密集采样</x:v>
      </x:c>
      <x:c r="J77" s="4" t="str">
        <x:v>What is special about the celebration in New York according to the video?</x:v>
      </x:c>
      <x:c r="K77" s="4" t="str">
        <x:v>官方仓库链接的标注预览与工作簿题干对照；未观看完整视频</x:v>
      </x:c>
      <x:c r="L77" s="4" t="str">
        <x:v>论文定义级核对；代表题按工作簿题干分析；未逐题观看视频</x:v>
      </x:c>
      <x:c r="M77" s="4" t="str">
        <x:v>https://arxiv.org/html/2405.21075v3</x:v>
      </x:c>
      <x:c r="N77" s="4" t="str">
        <x:v>任务分类；官方仓库链接的 annotation viewer</x:v>
      </x:c>
      <x:c r="O77" s="4" t="str">
        <x:v>https://huggingface.co/datasets/lmms-eval/Video-MME</x:v>
      </x:c>
    </x:row>
    <x:row r="78" ht="52" customHeight="1">
      <x:c r="A78" s="4" t="str">
        <x:v>src.video_mme.attribute_perception</x:v>
      </x:c>
      <x:c r="B78" s="4" t="str">
        <x:v>Video-MME</x:v>
      </x:c>
      <x:c r="C78" s="4" t="str">
        <x:v>Attribute Perception</x:v>
      </x:c>
      <x:c r="D78" s="4" t="str">
        <x:v>P01 | P06 | P11</x:v>
      </x:c>
      <x:c r="E78" s="14" t="str">
        <x:v>R1</x:v>
      </x:c>
      <x:c r="F78" s="14" t="str">
        <x:v>R6</x:v>
      </x:c>
      <x:c r="G78" s="4" t="str">
        <x:v>R1 | R4 | R6</x:v>
      </x:c>
      <x:c r="H78" s="4" t="str">
        <x:v>代表题是跨陈述判断哪项不正确，需要逐项证据核验；单一属性读取走R1，穷举属性/缺失项走R4。</x:v>
      </x:c>
      <x:c r="I78" s="4" t="str">
        <x:v>候选陈述核验；范围覆盖</x:v>
      </x:c>
      <x:c r="J78" s="4" t="str">
        <x:v>Which of the following options is incorrect regarding the events in Sarajevo depicted in the video?</x:v>
      </x:c>
      <x:c r="K78" s="4" t="str">
        <x:v>官方仓库链接的标注预览与工作簿题干对照；未观看完整视频</x:v>
      </x:c>
      <x:c r="L78" s="4" t="str">
        <x:v>论文定义级核对；代表题按工作簿题干分析；未逐题观看视频</x:v>
      </x:c>
      <x:c r="M78" s="4" t="str">
        <x:v>https://arxiv.org/html/2405.21075v3</x:v>
      </x:c>
      <x:c r="N78" s="4" t="str">
        <x:v>任务分类；官方仓库链接的 annotation viewer</x:v>
      </x:c>
      <x:c r="O78" s="4" t="str">
        <x:v>https://huggingface.co/datasets/lmms-eval/Video-MME</x:v>
      </x:c>
    </x:row>
    <x:row r="79" ht="80" customHeight="1">
      <x:c r="A79" s="4" t="str">
        <x:v>src.video_mme.counting_problem</x:v>
      </x:c>
      <x:c r="B79" s="4" t="str">
        <x:v>Video-MME</x:v>
      </x:c>
      <x:c r="C79" s="4" t="str">
        <x:v>Counting Problem</x:v>
      </x:c>
      <x:c r="D79" s="4" t="str">
        <x:v>P05 | P08 | P16</x:v>
      </x:c>
      <x:c r="E79" s="14" t="str">
        <x:v>R4</x:v>
      </x:c>
      <x:c r="F79" s="14" t="str">
        <x:v>R4</x:v>
      </x:c>
      <x:c r="G79" s="4" t="str">
        <x:v>R1 | R3 | R4</x:v>
      </x:c>
      <x:c r="H79" s="4" t="str">
        <x:v>装饰物哪类最多需各类实例清单及比较；重复动作次数走R3，视频直接报出一个数量且仅问该事实时可R1。先固定计数单位。</x:v>
      </x:c>
      <x:c r="I79" s="4" t="str">
        <x:v>实例去重；count/argmax</x:v>
      </x:c>
      <x:c r="J79" s="4" t="str">
        <x:v>When demonstrating the Germany modern Christmas tree is initially decorated with apples, candles and berries, which kind of the decoration has the largest number?</x:v>
      </x:c>
      <x:c r="K79" s="4" t="str">
        <x:v>官方仓库链接的标注预览与工作簿题干对照；未观看完整视频</x:v>
      </x:c>
      <x:c r="L79" s="4" t="str">
        <x:v>论文定义级核对；代表题按工作簿题干分析；未逐题观看视频</x:v>
      </x:c>
      <x:c r="M79" s="4" t="str">
        <x:v>https://arxiv.org/html/2405.21075v3</x:v>
      </x:c>
      <x:c r="N79" s="4" t="str">
        <x:v>任务分类；官方仓库链接的 annotation viewer</x:v>
      </x:c>
      <x:c r="O79" s="4" t="str">
        <x:v>https://huggingface.co/datasets/lmms-eval/Video-MME</x:v>
      </x:c>
    </x:row>
    <x:row r="80" ht="46" customHeight="1">
      <x:c r="A80" s="4" t="str">
        <x:v>src.video_mme.information_synopsis</x:v>
      </x:c>
      <x:c r="B80" s="4" t="str">
        <x:v>Video-MME</x:v>
      </x:c>
      <x:c r="C80" s="4" t="str">
        <x:v>Information Synopsis</x:v>
      </x:c>
      <x:c r="D80" s="4" t="str">
        <x:v>P08 | P10</x:v>
      </x:c>
      <x:c r="E80" s="14" t="str">
        <x:v>R5</x:v>
      </x:c>
      <x:c r="F80" s="14" t="str">
        <x:v>R5</x:v>
      </x:c>
      <x:c r="G80" s="4" t="str">
        <x:v>R4 | R5 | R6</x:v>
      </x:c>
      <x:c r="H80" s="4" t="str">
        <x:v>视频体裁、主旨或整体内容需要覆盖相关全片；实体列表走R4，隐喻/深层寓意走R6。</x:v>
      </x:c>
      <x:c r="I80" s="4" t="str">
        <x:v>分段覆盖；原生MCQ</x:v>
      </x:c>
      <x:c r="J80" s="4" t="str">
        <x:v>What is the genre of this video?</x:v>
      </x:c>
      <x:c r="K80" s="4" t="str">
        <x:v>官方仓库链接的标注预览与工作簿题干对照；未观看完整视频</x:v>
      </x:c>
      <x:c r="L80" s="4" t="str">
        <x:v>论文定义级核对；代表题按工作簿题干分析；未逐题观看视频</x:v>
      </x:c>
      <x:c r="M80" s="4" t="str">
        <x:v>https://arxiv.org/html/2405.21075v3</x:v>
      </x:c>
      <x:c r="N80" s="4" t="str">
        <x:v>任务分类；官方仓库链接的 annotation viewer</x:v>
      </x:c>
      <x:c r="O80" s="4" t="str">
        <x:v>https://huggingface.co/datasets/lmms-eval/Video-MME</x:v>
      </x:c>
    </x:row>
    <x:row r="81" ht="52" customHeight="1">
      <x:c r="A81" s="4" t="str">
        <x:v>src.video_mme.object_reasoning</x:v>
      </x:c>
      <x:c r="B81" s="4" t="str">
        <x:v>Video-MME</x:v>
      </x:c>
      <x:c r="C81" s="4" t="str">
        <x:v>Object Reasoning</x:v>
      </x:c>
      <x:c r="D81" s="4" t="str">
        <x:v>P11 | P15</x:v>
      </x:c>
      <x:c r="E81" s="14" t="str">
        <x:v>R6</x:v>
      </x:c>
      <x:c r="F81" s="14" t="str">
        <x:v>R6</x:v>
      </x:c>
      <x:c r="G81" s="4" t="str">
        <x:v>R1 | R6</x:v>
      </x:c>
      <x:c r="H81" s="4" t="str">
        <x:v>食物对应国家可能由解说直接提供，也可能需知识联系；仅凭题干无法确定真实证据负担，代表题暂列条件性R6，明示则R1。</x:v>
      </x:c>
      <x:c r="I81" s="4" t="str">
        <x:v>允许的字幕；知识与视频证据区分</x:v>
      </x:c>
      <x:c r="J81" s="4" t="str">
        <x:v>In which country is the food featured in the video recognized worldwide?</x:v>
      </x:c>
      <x:c r="K81" s="4" t="str">
        <x:v>官方仓库链接的标注预览与工作簿题干对照；未观看完整视频</x:v>
      </x:c>
      <x:c r="L81" s="4" t="str">
        <x:v>论文定义级核对；代表题按工作簿题干分析；未逐题观看视频；样本执行归类待证据确认</x:v>
      </x:c>
      <x:c r="M81" s="4" t="str">
        <x:v>https://arxiv.org/html/2405.21075v3</x:v>
      </x:c>
      <x:c r="N81" s="4" t="str">
        <x:v>任务分类；官方仓库链接的 annotation viewer</x:v>
      </x:c>
      <x:c r="O81" s="4" t="str">
        <x:v>https://huggingface.co/datasets/lmms-eval/Video-MME</x:v>
      </x:c>
    </x:row>
    <x:row r="82" ht="52" customHeight="1">
      <x:c r="A82" s="4" t="str">
        <x:v>src.video_mme.object_recognition</x:v>
      </x:c>
      <x:c r="B82" s="4" t="str">
        <x:v>Video-MME</x:v>
      </x:c>
      <x:c r="C82" s="4" t="str">
        <x:v>Object Recognition</x:v>
      </x:c>
      <x:c r="D82" s="4" t="str">
        <x:v>P01 | P08 | P09 | P13</x:v>
      </x:c>
      <x:c r="E82" s="14" t="str">
        <x:v>R1</x:v>
      </x:c>
      <x:c r="F82" s="14" t="str">
        <x:v>R4</x:v>
      </x:c>
      <x:c r="G82" s="4" t="str">
        <x:v>R1 | R4</x:v>
      </x:c>
      <x:c r="H82" s="4" t="str">
        <x:v>代表题问墓葬哪些特征/物品未被讨论，是限定话题的排除清单，不是找到一个物体即可停止。普通目标识别仍R1。</x:v>
      </x:c>
      <x:c r="I82" s="4" t="str">
        <x:v>范围覆盖；否定证据审计</x:v>
      </x:c>
      <x:c r="J82" s="4" t="str">
        <x:v>Which of the following features/items is not discussed in the video in relation to the tomb?</x:v>
      </x:c>
      <x:c r="K82" s="4" t="str">
        <x:v>官方仓库链接的标注预览与工作簿题干对照；未观看完整视频</x:v>
      </x:c>
      <x:c r="L82" s="4" t="str">
        <x:v>论文定义级核对；代表题按工作簿题干分析；未逐题观看视频</x:v>
      </x:c>
      <x:c r="M82" s="4" t="str">
        <x:v>https://arxiv.org/html/2405.21075v3</x:v>
      </x:c>
      <x:c r="N82" s="4" t="str">
        <x:v>任务分类；官方仓库链接的 annotation viewer</x:v>
      </x:c>
      <x:c r="O82" s="4" t="str">
        <x:v>https://huggingface.co/datasets/lmms-eval/Video-MME</x:v>
      </x:c>
    </x:row>
    <x:row r="83" ht="52" customHeight="1">
      <x:c r="A83" s="4" t="str">
        <x:v>src.video_mme.ocr_problems</x:v>
      </x:c>
      <x:c r="B83" s="4" t="str">
        <x:v>Video-MME</x:v>
      </x:c>
      <x:c r="C83" s="4" t="str">
        <x:v>OCR Problems</x:v>
      </x:c>
      <x:c r="D83" s="4" t="str">
        <x:v>P01 | P08</x:v>
      </x:c>
      <x:c r="E83" s="14" t="str">
        <x:v>R1</x:v>
      </x:c>
      <x:c r="F83" s="14" t="str">
        <x:v>R1</x:v>
      </x:c>
      <x:c r="G83" s="4" t="str">
        <x:v>R1 | R4</x:v>
      </x:c>
      <x:c r="H83" s="4" t="str">
        <x:v>手机上的特定句子可定位后高分辨率读取；若收集全片所有文字、不同店名或未出现项，需要R4清单。</x:v>
      </x:c>
      <x:c r="I83" s="4" t="str">
        <x:v>视觉文字读取；裁剪放大</x:v>
      </x:c>
      <x:c r="J83" s="4" t="str">
        <x:v>What is the specific sentence in the smart phone that makes the man embarrassed?</x:v>
      </x:c>
      <x:c r="K83" s="4" t="str">
        <x:v>已核对论文原生定义/模板；代表题沿用用户表，未逐条核对原始视频</x:v>
      </x:c>
      <x:c r="L83" s="4" t="str">
        <x:v>论文定义级核对；代表题按工作簿题干分析；未逐题观看视频</x:v>
      </x:c>
      <x:c r="M83" s="4" t="str">
        <x:v>https://arxiv.org/html/2405.21075v3</x:v>
      </x:c>
      <x:c r="N83" s="4" t="str">
        <x:v>任务分类；官方仓库链接的 annotation viewer</x:v>
      </x:c>
      <x:c r="O83" s="4" t="str">
        <x:v>https://huggingface.co/datasets/lmms-eval/Video-MME</x:v>
      </x:c>
    </x:row>
    <x:row r="84" ht="52" customHeight="1">
      <x:c r="A84" s="4" t="str">
        <x:v>src.video_mme.spatial_perception</x:v>
      </x:c>
      <x:c r="B84" s="4" t="str">
        <x:v>Video-MME</x:v>
      </x:c>
      <x:c r="C84" s="4" t="str">
        <x:v>Spatial Perception</x:v>
      </x:c>
      <x:c r="D84" s="4" t="str">
        <x:v>P01 | P17</x:v>
      </x:c>
      <x:c r="E84" s="14" t="str">
        <x:v>R1</x:v>
      </x:c>
      <x:c r="F84" s="14" t="str">
        <x:v>R1</x:v>
      </x:c>
      <x:c r="G84" s="4" t="str">
        <x:v>R1 | R9</x:v>
      </x:c>
      <x:c r="H84" s="4" t="str">
        <x:v>空瓶出现时背景有什么通常是直接可见的局部关系；跨视角参考系、不可同框的空间关系改R9。</x:v>
      </x:c>
      <x:c r="I84" s="4" t="str">
        <x:v>时间锚点；局部空间观察</x:v>
      </x:c>
      <x:c r="J84" s="4" t="str">
        <x:v>Which of the following is visible in the background of the video when the miniature bottle is shown empty?</x:v>
      </x:c>
      <x:c r="K84" s="4" t="str">
        <x:v>已核对论文原生定义/模板；代表题沿用用户表，未逐条核对原始视频</x:v>
      </x:c>
      <x:c r="L84" s="4" t="str">
        <x:v>论文定义级核对；代表题按工作簿题干分析；未逐题观看视频</x:v>
      </x:c>
      <x:c r="M84" s="4" t="str">
        <x:v>https://arxiv.org/html/2405.21075v3</x:v>
      </x:c>
      <x:c r="N84" s="4" t="str">
        <x:v>任务分类；官方仓库链接的 annotation viewer</x:v>
      </x:c>
      <x:c r="O84" s="4" t="str">
        <x:v>https://huggingface.co/datasets/lmms-eval/Video-MME</x:v>
      </x:c>
    </x:row>
    <x:row r="85" ht="52" customHeight="1">
      <x:c r="A85" s="4" t="str">
        <x:v>src.video_mme.spatial_reasoning</x:v>
      </x:c>
      <x:c r="B85" s="4" t="str">
        <x:v>Video-MME</x:v>
      </x:c>
      <x:c r="C85" s="4" t="str">
        <x:v>Spatial Reasoning</x:v>
      </x:c>
      <x:c r="D85" s="4" t="str">
        <x:v>P11 | P17</x:v>
      </x:c>
      <x:c r="E85" s="14" t="str">
        <x:v>R6</x:v>
      </x:c>
      <x:c r="F85" s="14" t="str">
        <x:v>R6</x:v>
      </x:c>
      <x:c r="G85" s="4" t="str">
        <x:v>R1 | R6 | R9</x:v>
      </x:c>
      <x:c r="H85" s="4" t="str">
        <x:v>代表题问屋顶物体为何飞起，是原因推断，不是左右/距离计算。其他子题按直接空间事实R1、关系推理R6或场景建模R9拆分。</x:v>
      </x:c>
      <x:c r="I85" s="4" t="str">
        <x:v>因果证据；不按标签字面路由</x:v>
      </x:c>
      <x:c r="J85" s="4" t="str">
        <x:v>Why does the roof object fly?</x:v>
      </x:c>
      <x:c r="K85" s="4" t="str">
        <x:v>官方仓库链接的标注预览与工作簿题干对照；未观看完整视频</x:v>
      </x:c>
      <x:c r="L85" s="4" t="str">
        <x:v>论文定义级核对；代表题按工作簿题干分析；未逐题观看视频</x:v>
      </x:c>
      <x:c r="M85" s="4" t="str">
        <x:v>https://arxiv.org/html/2405.21075v3</x:v>
      </x:c>
      <x:c r="N85" s="4" t="str">
        <x:v>任务分类；官方仓库链接的 annotation viewer</x:v>
      </x:c>
      <x:c r="O85" s="4" t="str">
        <x:v>https://huggingface.co/datasets/lmms-eval/Video-MME</x:v>
      </x:c>
    </x:row>
    <x:row r="86" ht="66" customHeight="1">
      <x:c r="A86" s="4" t="str">
        <x:v>src.video_mme.temporal_perception</x:v>
      </x:c>
      <x:c r="B86" s="4" t="str">
        <x:v>Video-MME</x:v>
      </x:c>
      <x:c r="C86" s="4" t="str">
        <x:v>Temporal Perception</x:v>
      </x:c>
      <x:c r="D86" s="4" t="str">
        <x:v>P06 | P07 | P09</x:v>
      </x:c>
      <x:c r="E86" s="14" t="str">
        <x:v>R3</x:v>
      </x:c>
      <x:c r="F86" s="14" t="str">
        <x:v>R1</x:v>
      </x:c>
      <x:c r="G86" s="4" t="str">
        <x:v>R1 | R3 | R8</x:v>
      </x:c>
      <x:c r="H86" s="4" t="str">
        <x:v>最早人类演化阶段是内容中的语义年代，不等于在视频中最先出现。若视频明示读R1；事件出现顺序R3；读取年代后比较可R8。代表题归类仍需视频证据确认。</x:v>
      </x:c>
      <x:c r="I86" s="4" t="str">
        <x:v>视频时间与语义时间分离</x:v>
      </x:c>
      <x:c r="J86" s="4" t="str">
        <x:v>According to the video, which of the following is considered the earliest stage of human evolution?</x:v>
      </x:c>
      <x:c r="K86" s="4" t="str">
        <x:v>官方仓库链接的标注预览与工作簿题干对照；未观看完整视频</x:v>
      </x:c>
      <x:c r="L86" s="4" t="str">
        <x:v>论文定义级核对；代表题按工作簿题干分析；未逐题观看视频；样本执行归类待证据确认</x:v>
      </x:c>
      <x:c r="M86" s="4" t="str">
        <x:v>https://arxiv.org/html/2405.21075v3</x:v>
      </x:c>
      <x:c r="N86" s="4" t="str">
        <x:v>任务分类；官方仓库链接的 annotation viewer</x:v>
      </x:c>
      <x:c r="O86" s="4" t="str">
        <x:v>https://huggingface.co/datasets/lmms-eval/Video-MME</x:v>
      </x:c>
    </x:row>
    <x:row r="87" ht="66" customHeight="1">
      <x:c r="A87" s="4" t="str">
        <x:v>src.video_mme.temporal_reasoning</x:v>
      </x:c>
      <x:c r="B87" s="4" t="str">
        <x:v>Video-MME</x:v>
      </x:c>
      <x:c r="C87" s="4" t="str">
        <x:v>Temporal Reasoning</x:v>
      </x:c>
      <x:c r="D87" s="4" t="str">
        <x:v>P06 | P11</x:v>
      </x:c>
      <x:c r="E87" s="14" t="str">
        <x:v>R6</x:v>
      </x:c>
      <x:c r="F87" s="14" t="str">
        <x:v>R1</x:v>
      </x:c>
      <x:c r="G87" s="4" t="str">
        <x:v>R1 | R3 | R6 | R7</x:v>
      </x:c>
      <x:c r="H87" s="4" t="str">
        <x:v>圣帕特里克节传到美国后发生了什么，可能是解说中的直接事实；真实事件顺序走R3，原因解释R6，未发生的未来推演R7。代表题按明示事实条件暂列R1。</x:v>
      </x:c>
      <x:c r="I87" s="4" t="str">
        <x:v>时间语义识别；证据确认</x:v>
      </x:c>
      <x:c r="J87" s="4" t="str">
        <x:v>What happened when Irish imiggrants brought the tradition of St. Patrick's Day to America?</x:v>
      </x:c>
      <x:c r="K87" s="4" t="str">
        <x:v>官方仓库链接的标注预览与工作簿题干对照；未观看完整视频</x:v>
      </x:c>
      <x:c r="L87" s="4" t="str">
        <x:v>论文定义级核对；代表题按工作簿题干分析；未逐题观看视频；样本执行归类待证据确认</x:v>
      </x:c>
      <x:c r="M87" s="4" t="str">
        <x:v>https://arxiv.org/html/2405.21075v3</x:v>
      </x:c>
      <x:c r="N87" s="4" t="str">
        <x:v>任务分类；官方仓库链接的 annotation viewer</x:v>
      </x:c>
      <x:c r="O87" s="4" t="str">
        <x:v>https://huggingface.co/datasets/lmms-eval/Video-MME</x:v>
      </x:c>
    </x:row>
    <x:row r="88" ht="52" customHeight="1">
      <x:c r="A88" s="4" t="str">
        <x:v>src.video_mme_v2.audio_guided_visual_description</x:v>
      </x:c>
      <x:c r="B88" s="4" t="str">
        <x:v>Video-MME-v2</x:v>
      </x:c>
      <x:c r="C88" s="4" t="str">
        <x:v>Audio-Guided Visual Description</x:v>
      </x:c>
      <x:c r="D88" s="4" t="str">
        <x:v>P13</x:v>
      </x:c>
      <x:c r="E88" s="14" t="str">
        <x:v>R1</x:v>
      </x:c>
      <x:c r="F88" s="14" t="str">
        <x:v>R1</x:v>
      </x:c>
      <x:c r="G88" s="4" t="str">
        <x:v>R1</x:v>
      </x:c>
      <x:c r="H88" s="4" t="str">
        <x:v>根据对话名称对齐视频中的叙事角色，需要时间对齐的音频/允许的转写与画面；不能只凭面容猜姓名。</x:v>
      </x:c>
      <x:c r="I88" s="4" t="str">
        <x:v>音画对齐；说话人/角色绑定</x:v>
      </x:c>
      <x:c r="J88" s="4" t="str">
        <x:v>Who is Ava? Who is Gillian?</x:v>
      </x:c>
      <x:c r="K88" s="4" t="str">
        <x:v>已核对论文原生定义/模板；代表题沿用用户表，未逐条核对原始视频</x:v>
      </x:c>
      <x:c r="L88" s="4" t="str">
        <x:v>论文定义级核对；代表题按工作簿题干分析；未逐题观看视频</x:v>
      </x:c>
      <x:c r="M88" s="4" t="str">
        <x:v>https://arxiv.org/pdf/2604.05015</x:v>
      </x:c>
      <x:c r="N88" s="4" t="str">
        <x:v>§3；Appendix Table 4；官方 test 数据预览</x:v>
      </x:c>
      <x:c r="O88" s="4" t="str">
        <x:v>https://huggingface.co/datasets/MME-Benchmarks/Video-MME-v2</x:v>
      </x:c>
    </x:row>
    <x:row r="89" ht="80" customHeight="1">
      <x:c r="A89" s="4" t="str">
        <x:v>src.video_mme_v2.basic_counting</x:v>
      </x:c>
      <x:c r="B89" s="4" t="str">
        <x:v>Video-MME-v2</x:v>
      </x:c>
      <x:c r="C89" s="4" t="str">
        <x:v>Basic Counting</x:v>
      </x:c>
      <x:c r="D89" s="4" t="str">
        <x:v>P05</x:v>
      </x:c>
      <x:c r="E89" s="14" t="str">
        <x:v>R4</x:v>
      </x:c>
      <x:c r="F89" s="14" t="str">
        <x:v>R3</x:v>
      </x:c>
      <x:c r="G89" s="4" t="str">
        <x:v>R3 | R4</x:v>
      </x:c>
      <x:c r="H89" s="4" t="str">
        <x:v>论文Table 4将Basic Counting描述为静态、顺序无关计数，但官方002-1浇花次数与004-1货运车厢数量同标此类。前者R3事件次数，后者R4实例数；保留官方标签，增设执行子型。</x:v>
      </x:c>
      <x:c r="I89" s="4" t="str">
        <x:v>计数单位；区间覆盖；去重</x:v>
      </x:c>
      <x:c r="J89" s="4" t="str">
        <x:v>Within the first 15 seconds of the Green Level challenge, how many times in total did the man water the flowers?</x:v>
      </x:c>
      <x:c r="K89" s="4" t="str">
        <x:v>原论文Table 4 + 官方002-1/004-1标注；同标签含事件次数和实例数</x:v>
      </x:c>
      <x:c r="L89" s="4" t="str">
        <x:v>论文定义级核对；代表题按工作簿题干分析；未逐题观看视频</x:v>
      </x:c>
      <x:c r="M89" s="4" t="str">
        <x:v>https://arxiv.org/pdf/2604.05015</x:v>
      </x:c>
      <x:c r="N89" s="4" t="str">
        <x:v>§3；Appendix Table 4；官方 test 数据预览</x:v>
      </x:c>
      <x:c r="O89" s="4" t="str">
        <x:v>https://huggingface.co/datasets/MME-Benchmarks/Video-MME-v2</x:v>
      </x:c>
    </x:row>
    <x:row r="90" ht="52" customHeight="1">
      <x:c r="A90" s="4" t="str">
        <x:v>src.video_mme_v2.causal_reasoning</x:v>
      </x:c>
      <x:c r="B90" s="4" t="str">
        <x:v>Video-MME-v2</x:v>
      </x:c>
      <x:c r="C90" s="4" t="str">
        <x:v>Causal Reasoning</x:v>
      </x:c>
      <x:c r="D90" s="4" t="str">
        <x:v>P11</x:v>
      </x:c>
      <x:c r="E90" s="14" t="str">
        <x:v>R6</x:v>
      </x:c>
      <x:c r="F90" s="14" t="str">
        <x:v>R6</x:v>
      </x:c>
      <x:c r="G90" s="4" t="str">
        <x:v>R1 | R6</x:v>
      </x:c>
      <x:c r="H90" s="4" t="str">
        <x:v>老板不让主角扮Hello Kitty需要证据约束的原因解释；若台词直接给原因，则可简化为R1。</x:v>
      </x:c>
      <x:c r="I90" s="4" t="str">
        <x:v>因果证据；可用对话</x:v>
      </x:c>
      <x:c r="J90" s="4" t="str">
        <x:v>Why didn't the boss let the protagonist dress as Hello Kitty?</x:v>
      </x:c>
      <x:c r="K90" s="4" t="str">
        <x:v>已核对论文原生定义/模板；代表题沿用用户表，未逐条核对原始视频</x:v>
      </x:c>
      <x:c r="L90" s="4" t="str">
        <x:v>论文定义级核对；代表题按工作簿题干分析；未逐题观看视频</x:v>
      </x:c>
      <x:c r="M90" s="4" t="str">
        <x:v>https://arxiv.org/pdf/2604.05015</x:v>
      </x:c>
      <x:c r="N90" s="4" t="str">
        <x:v>§3；Appendix Table 4；官方 test 数据预览</x:v>
      </x:c>
      <x:c r="O90" s="4" t="str">
        <x:v>https://huggingface.co/datasets/MME-Benchmarks/Video-MME-v2</x:v>
      </x:c>
    </x:row>
    <x:row r="91" ht="66" customHeight="1">
      <x:c r="A91" s="4" t="str">
        <x:v>src.video_mme_v2.collective_dynamics_analysis</x:v>
      </x:c>
      <x:c r="B91" s="4" t="str">
        <x:v>Video-MME-v2</x:v>
      </x:c>
      <x:c r="C91" s="4" t="str">
        <x:v>Collective Dynamics Analysis</x:v>
      </x:c>
      <x:c r="D91" s="4" t="str">
        <x:v>P11</x:v>
      </x:c>
      <x:c r="E91" s="14" t="str">
        <x:v>R6</x:v>
      </x:c>
      <x:c r="F91" s="14" t="str">
        <x:v>R6</x:v>
      </x:c>
      <x:c r="G91" s="4" t="str">
        <x:v>R6</x:v>
      </x:c>
      <x:c r="H91" s="4" t="str">
        <x:v>投资人决策动机及群体关系需要跨情境证据比较；频次只是辅助操作，不替代动机判断。</x:v>
      </x:c>
      <x:c r="I91" s="4" t="str">
        <x:v>人物绑定；多片段关系证据</x:v>
      </x:c>
      <x:c r="J91" s="4" t="str">
        <x:v>On which occasion(s) was Shark Daymond's motivation based on a reliance on his personal resources and charisma rather than the offer itself?</x:v>
      </x:c>
      <x:c r="K91" s="4" t="str">
        <x:v>已核对论文原生定义/模板；代表题沿用用户表，未逐条核对原始视频</x:v>
      </x:c>
      <x:c r="L91" s="4" t="str">
        <x:v>论文定义级核对；代表题按工作簿题干分析；未逐题观看视频</x:v>
      </x:c>
      <x:c r="M91" s="4" t="str">
        <x:v>https://arxiv.org/pdf/2604.05015</x:v>
      </x:c>
      <x:c r="N91" s="4" t="str">
        <x:v>§3；Appendix Table 4；官方 test 数据预览</x:v>
      </x:c>
      <x:c r="O91" s="4" t="str">
        <x:v>https://huggingface.co/datasets/MME-Benchmarks/Video-MME-v2</x:v>
      </x:c>
    </x:row>
    <x:row r="92" ht="178" customHeight="1">
      <x:c r="A92" s="4" t="str">
        <x:v>src.video_mme_v2.counterfactual_reasoning</x:v>
      </x:c>
      <x:c r="B92" s="4" t="str">
        <x:v>Video-MME-v2</x:v>
      </x:c>
      <x:c r="C92" s="4" t="str">
        <x:v>Counterfactual Reasoning</x:v>
      </x:c>
      <x:c r="D92" s="4" t="str">
        <x:v>P12</x:v>
      </x:c>
      <x:c r="E92" s="14" t="str">
        <x:v>R7</x:v>
      </x:c>
      <x:c r="F92" s="14" t="str">
        <x:v>R7</x:v>
      </x:c>
      <x:c r="G92" s="4" t="str">
        <x:v>R7</x:v>
      </x:c>
      <x:c r="H92" s="4" t="str">
        <x:v>浇花反事实先取得事实计数，再只修改假设指定变量并重算；算术是共享操作，不要求通用物理仿真器。</x:v>
      </x:c>
      <x:c r="I92" s="4" t="str">
        <x:v>事实账本；干预变量；算术</x:v>
      </x:c>
      <x:c r="J92" s="4" t="str">
        <x:v>Within the first 15 seconds of the Green Level challenge, suppose the leftmost flower on the screen is watered exactly the same number of times. Now let the rightmost flower on the screen be watered the same number of times as the leftmost flower, and the middle flower is watered exactly one more time than it was originally watered. Under this hypothetical change, how many times are the tallest and the shortest flowers watered, respectively?</x:v>
      </x:c>
      <x:c r="K92" s="4" t="str">
        <x:v>已核对论文原生定义/模板；代表题沿用用户表，未逐条核对原始视频</x:v>
      </x:c>
      <x:c r="L92" s="4" t="str">
        <x:v>论文定义级核对；代表题按工作簿题干分析；未逐题观看视频</x:v>
      </x:c>
      <x:c r="M92" s="4" t="str">
        <x:v>https://arxiv.org/pdf/2604.05015</x:v>
      </x:c>
      <x:c r="N92" s="4" t="str">
        <x:v>§3；Appendix Table 4；官方 test 数据预览</x:v>
      </x:c>
      <x:c r="O92" s="4" t="str">
        <x:v>https://huggingface.co/datasets/MME-Benchmarks/Video-MME-v2</x:v>
      </x:c>
    </x:row>
    <x:row r="93" ht="52" customHeight="1">
      <x:c r="A93" s="4" t="str">
        <x:v>src.video_mme_v2.counterintuitive_comprehension</x:v>
      </x:c>
      <x:c r="B93" s="4" t="str">
        <x:v>Video-MME-v2</x:v>
      </x:c>
      <x:c r="C93" s="4" t="str">
        <x:v>Counterintuitive Comprehension</x:v>
      </x:c>
      <x:c r="D93" s="4" t="str">
        <x:v>P14</x:v>
      </x:c>
      <x:c r="E93" s="14" t="str">
        <x:v>R6</x:v>
      </x:c>
      <x:c r="F93" s="14" t="str">
        <x:v>R1</x:v>
      </x:c>
      <x:c r="G93" s="4" t="str">
        <x:v>R1 | R6</x:v>
      </x:c>
      <x:c r="H93" s="4" t="str">
        <x:v>乐团场景哪个对象/现象异常可能直接可见，先走R1；解释违背何种物理/社会预期才需R6。代表题是否直接可见仍待视频确认。</x:v>
      </x:c>
      <x:c r="I93" s="4" t="str">
        <x:v>局部视觉；常态—观测对照</x:v>
      </x:c>
      <x:c r="J93" s="4" t="str">
        <x:v>In the orchestra scene, which of the following is the main physical anomalous phenomenon or object?</x:v>
      </x:c>
      <x:c r="K93" s="4" t="str">
        <x:v>已核对论文原生定义/模板；代表题沿用用户表，未逐条核对原始视频</x:v>
      </x:c>
      <x:c r="L93" s="4" t="str">
        <x:v>论文定义级核对；代表题按工作簿题干分析；未逐题观看视频；样本执行归类待证据确认</x:v>
      </x:c>
      <x:c r="M93" s="4" t="str">
        <x:v>https://arxiv.org/pdf/2604.05015</x:v>
      </x:c>
      <x:c r="N93" s="4" t="str">
        <x:v>§3；Appendix Table 4；官方 test 数据预览</x:v>
      </x:c>
      <x:c r="O93" s="4" t="str">
        <x:v>https://huggingface.co/datasets/MME-Benchmarks/Video-MME-v2</x:v>
      </x:c>
    </x:row>
    <x:row r="94" ht="80" customHeight="1">
      <x:c r="A94" s="4" t="str">
        <x:v>src.video_mme_v2.cross_modal_semantic_consistency</x:v>
      </x:c>
      <x:c r="B94" s="4" t="str">
        <x:v>Video-MME-v2</x:v>
      </x:c>
      <x:c r="C94" s="4" t="str">
        <x:v>Cross-Modal Semantic Consistency</x:v>
      </x:c>
      <x:c r="D94" s="4" t="str">
        <x:v>P13</x:v>
      </x:c>
      <x:c r="E94" s="14" t="str">
        <x:v>R6</x:v>
      </x:c>
      <x:c r="F94" s="14" t="str">
        <x:v>R6</x:v>
      </x:c>
      <x:c r="G94" s="4" t="str">
        <x:v>R6</x:v>
      </x:c>
      <x:c r="H94" s="4" t="str">
        <x:v>画面与配乐情绪/含义是否一致需要跨模态语义比较；ASR文本不能替代音乐线索。</x:v>
      </x:c>
      <x:c r="I94" s="4" t="str">
        <x:v>必要音频；时间对齐；一致性核验</x:v>
      </x:c>
      <x:c r="J94" s="4" t="str">
        <x:v>When the scene showing the little girl sitting by the window is presented at the beginning of the video, which is the most accurate description of the background music and visual tone?</x:v>
      </x:c>
      <x:c r="K94" s="4" t="str">
        <x:v>已核对论文原生定义/模板；代表题沿用用户表，未逐条核对原始视频</x:v>
      </x:c>
      <x:c r="L94" s="4" t="str">
        <x:v>论文定义级核对；代表题按工作簿题干分析；未逐题观看视频</x:v>
      </x:c>
      <x:c r="M94" s="4" t="str">
        <x:v>https://arxiv.org/pdf/2604.05015</x:v>
      </x:c>
      <x:c r="N94" s="4" t="str">
        <x:v>§3；Appendix Table 4；官方 test 数据预览</x:v>
      </x:c>
      <x:c r="O94" s="4" t="str">
        <x:v>https://huggingface.co/datasets/MME-Benchmarks/Video-MME-v2</x:v>
      </x:c>
    </x:row>
    <x:row r="95" ht="52" customHeight="1">
      <x:c r="A95" s="4" t="str">
        <x:v>src.video_mme_v2.dyadic_interaction_dynamics</x:v>
      </x:c>
      <x:c r="B95" s="4" t="str">
        <x:v>Video-MME-v2</x:v>
      </x:c>
      <x:c r="C95" s="4" t="str">
        <x:v>Dyadic Interaction Dynamics</x:v>
      </x:c>
      <x:c r="D95" s="4" t="str">
        <x:v>P11</x:v>
      </x:c>
      <x:c r="E95" s="14" t="str">
        <x:v>R6</x:v>
      </x:c>
      <x:c r="F95" s="14" t="str">
        <x:v>R6</x:v>
      </x:c>
      <x:c r="G95" s="4" t="str">
        <x:v>R1 | R6</x:v>
      </x:c>
      <x:c r="H95" s="4" t="str">
        <x:v>两人初期关系通常依赖互动或对话解释；明确称谓事实可R1，不强制所有关系题建大图。</x:v>
      </x:c>
      <x:c r="I95" s="4" t="str">
        <x:v>角色身份；局部/跨段关系证据</x:v>
      </x:c>
      <x:c r="J95" s="4" t="str">
        <x:v>What was the relationship between Ava and Gillian like at the beginning?</x:v>
      </x:c>
      <x:c r="K95" s="4" t="str">
        <x:v>已核对论文原生定义/模板；代表题沿用用户表，未逐条核对原始视频</x:v>
      </x:c>
      <x:c r="L95" s="4" t="str">
        <x:v>论文定义级核对；代表题按工作簿题干分析；未逐题观看视频</x:v>
      </x:c>
      <x:c r="M95" s="4" t="str">
        <x:v>https://arxiv.org/pdf/2604.05015</x:v>
      </x:c>
      <x:c r="N95" s="4" t="str">
        <x:v>§3；Appendix Table 4；官方 test 数据预览</x:v>
      </x:c>
      <x:c r="O95" s="4" t="str">
        <x:v>https://huggingface.co/datasets/MME-Benchmarks/Video-MME-v2</x:v>
      </x:c>
    </x:row>
    <x:row r="96" ht="46" customHeight="1">
      <x:c r="A96" s="4" t="str">
        <x:v>src.video_mme_v2.entity_attribute_change_detection</x:v>
      </x:c>
      <x:c r="B96" s="4" t="str">
        <x:v>Video-MME-v2</x:v>
      </x:c>
      <x:c r="C96" s="4" t="str">
        <x:v>Entity Attribute Change Detection</x:v>
      </x:c>
      <x:c r="D96" s="4" t="str">
        <x:v>P06</x:v>
      </x:c>
      <x:c r="E96" s="14" t="str">
        <x:v>R2</x:v>
      </x:c>
      <x:c r="F96" s="14" t="str">
        <x:v>R2</x:v>
      </x:c>
      <x:c r="G96" s="4" t="str">
        <x:v>R2</x:v>
      </x:c>
      <x:c r="H96" s="4" t="str">
        <x:v>追踪同一玉米的属性前后变化；可按问题只比较端点，但需身份一致。</x:v>
      </x:c>
      <x:c r="I96" s="4" t="str">
        <x:v>实体绑定；状态差分</x:v>
      </x:c>
      <x:c r="J96" s="4" t="str">
        <x:v>How did the corn at the beginning of the video change?</x:v>
      </x:c>
      <x:c r="K96" s="4" t="str">
        <x:v>已核对论文原生定义/模板；代表题沿用用户表，未逐条核对原始视频</x:v>
      </x:c>
      <x:c r="L96" s="4" t="str">
        <x:v>论文定义级核对；代表题按工作簿题干分析；未逐题观看视频</x:v>
      </x:c>
      <x:c r="M96" s="4" t="str">
        <x:v>https://arxiv.org/pdf/2604.05015</x:v>
      </x:c>
      <x:c r="N96" s="4" t="str">
        <x:v>§3；Appendix Table 4；官方 test 数据预览</x:v>
      </x:c>
      <x:c r="O96" s="4" t="str">
        <x:v>https://huggingface.co/datasets/MME-Benchmarks/Video-MME-v2</x:v>
      </x:c>
    </x:row>
    <x:row r="97" ht="52" customHeight="1">
      <x:c r="A97" s="4" t="str">
        <x:v>src.video_mme_v2.entity_existence_change_detection</x:v>
      </x:c>
      <x:c r="B97" s="4" t="str">
        <x:v>Video-MME-v2</x:v>
      </x:c>
      <x:c r="C97" s="4" t="str">
        <x:v>Entity Existence Change Detection</x:v>
      </x:c>
      <x:c r="D97" s="4" t="str">
        <x:v>P02 | P06</x:v>
      </x:c>
      <x:c r="E97" s="14" t="str">
        <x:v>R2</x:v>
      </x:c>
      <x:c r="F97" s="14" t="str">
        <x:v>R4</x:v>
      </x:c>
      <x:c r="G97" s="4" t="str">
        <x:v>R2 | R3 | R4</x:v>
      </x:c>
      <x:c r="H97" s="4" t="str">
        <x:v>代表题问多少只鸟飞出视野，计数单位为鸟的实例，R4并调用追踪；问同一鸟飞出几次则R3；仅问实体进出变化则R2。</x:v>
      </x:c>
      <x:c r="I97" s="4" t="str">
        <x:v>实体ID；出界事件；计数单位</x:v>
      </x:c>
      <x:c r="J97" s="4" t="str">
        <x:v>In the fifth scene, how many birds flew out of view?</x:v>
      </x:c>
      <x:c r="K97" s="4" t="str">
        <x:v>已核对论文原生定义/模板；代表题沿用用户表，未逐条核对原始视频</x:v>
      </x:c>
      <x:c r="L97" s="4" t="str">
        <x:v>论文定义级核对；代表题按工作簿题干分析；未逐题观看视频</x:v>
      </x:c>
      <x:c r="M97" s="4" t="str">
        <x:v>https://arxiv.org/pdf/2604.05015</x:v>
      </x:c>
      <x:c r="N97" s="4" t="str">
        <x:v>§3；Appendix Table 4；官方 test 数据预览</x:v>
      </x:c>
      <x:c r="O97" s="4" t="str">
        <x:v>https://huggingface.co/datasets/MME-Benchmarks/Video-MME-v2</x:v>
      </x:c>
    </x:row>
    <x:row r="98" ht="94" customHeight="1">
      <x:c r="A98" s="4" t="str">
        <x:v>src.video_mme_v2.entity_persistence_tracking</x:v>
      </x:c>
      <x:c r="B98" s="4" t="str">
        <x:v>Video-MME-v2</x:v>
      </x:c>
      <x:c r="C98" s="4" t="str">
        <x:v>Entity Persistence Tracking</x:v>
      </x:c>
      <x:c r="D98" s="4" t="str">
        <x:v>P02</x:v>
      </x:c>
      <x:c r="E98" s="14" t="str">
        <x:v>R2</x:v>
      </x:c>
      <x:c r="F98" s="14" t="str">
        <x:v>R2</x:v>
      </x:c>
      <x:c r="G98" s="4" t="str">
        <x:v>R2</x:v>
      </x:c>
      <x:c r="H98" s="4" t="str">
        <x:v>杯壳交换期间维持目标身份并处理遮挡；不能用彼此无关的静态帧识别代替。</x:v>
      </x:c>
      <x:c r="I98" s="4" t="str">
        <x:v>密集关键区间；遮挡/重识别</x:v>
      </x:c>
      <x:c r="J98" s="4" t="str">
        <x:v>The host performed a total of two shell swaps (defining a single swap as an instance where all shells return to an approximately straight line). Underneath which shell was the ball located after the first swap?</x:v>
      </x:c>
      <x:c r="K98" s="4" t="str">
        <x:v>已核对论文原生定义/模板；代表题沿用用户表，未逐条核对原始视频</x:v>
      </x:c>
      <x:c r="L98" s="4" t="str">
        <x:v>论文定义级核对；代表题按工作簿题干分析；未逐题观看视频</x:v>
      </x:c>
      <x:c r="M98" s="4" t="str">
        <x:v>https://arxiv.org/pdf/2604.05015</x:v>
      </x:c>
      <x:c r="N98" s="4" t="str">
        <x:v>§3；Appendix Table 4；官方 test 数据预览</x:v>
      </x:c>
      <x:c r="O98" s="4" t="str">
        <x:v>https://huggingface.co/datasets/MME-Benchmarks/Video-MME-v2</x:v>
      </x:c>
    </x:row>
    <x:row r="99" ht="46" customHeight="1">
      <x:c r="A99" s="4" t="str">
        <x:v>src.video_mme_v2.event_sequence_ordering</x:v>
      </x:c>
      <x:c r="B99" s="4" t="str">
        <x:v>Video-MME-v2</x:v>
      </x:c>
      <x:c r="C99" s="4" t="str">
        <x:v>Event Sequence Ordering</x:v>
      </x:c>
      <x:c r="D99" s="4" t="str">
        <x:v>P07</x:v>
      </x:c>
      <x:c r="E99" s="14" t="str">
        <x:v>R3</x:v>
      </x:c>
      <x:c r="F99" s="14" t="str">
        <x:v>R3</x:v>
      </x:c>
      <x:c r="G99" s="4" t="str">
        <x:v>R3</x:v>
      </x:c>
      <x:c r="H99" s="4" t="str">
        <x:v>首个与最后一个进球需要已发生事件的时间索引及末端覆盖，而非未来预测。</x:v>
      </x:c>
      <x:c r="I99" s="4" t="str">
        <x:v>事件时间戳；first/last</x:v>
      </x:c>
      <x:c r="J99" s="4" t="str">
        <x:v>Which teams scored the first and last goals in this match, respectively?</x:v>
      </x:c>
      <x:c r="K99" s="4" t="str">
        <x:v>已核对论文原生定义/模板；代表题沿用用户表，未逐条核对原始视频</x:v>
      </x:c>
      <x:c r="L99" s="4" t="str">
        <x:v>论文定义级核对；代表题按工作簿题干分析；未逐题观看视频</x:v>
      </x:c>
      <x:c r="M99" s="4" t="str">
        <x:v>https://arxiv.org/pdf/2604.05015</x:v>
      </x:c>
      <x:c r="N99" s="4" t="str">
        <x:v>§3；Appendix Table 4；官方 test 数据预览</x:v>
      </x:c>
      <x:c r="O99" s="4" t="str">
        <x:v>https://huggingface.co/datasets/MME-Benchmarks/Video-MME-v2</x:v>
      </x:c>
    </x:row>
    <x:row r="100" ht="46" customHeight="1">
      <x:c r="A100" s="4" t="str">
        <x:v>src.video_mme_v2.fine_grained_action_recognition</x:v>
      </x:c>
      <x:c r="B100" s="4" t="str">
        <x:v>Video-MME-v2</x:v>
      </x:c>
      <x:c r="C100" s="4" t="str">
        <x:v>Fine-Grained Action Recognition</x:v>
      </x:c>
      <x:c r="D100" s="4" t="str">
        <x:v>P01 | P02</x:v>
      </x:c>
      <x:c r="E100" s="14" t="str">
        <x:v>R2</x:v>
      </x:c>
      <x:c r="F100" s="14" t="str">
        <x:v>R2</x:v>
      </x:c>
      <x:c r="G100" s="4" t="str">
        <x:v>R2</x:v>
      </x:c>
      <x:c r="H100" s="4" t="str">
        <x:v>过人动作需要细粒度连续运动证据；不能把整类并入单帧局部识别。</x:v>
      </x:c>
      <x:c r="I100" s="4" t="str">
        <x:v>短片段高采样；运动轨迹</x:v>
      </x:c>
      <x:c r="J100" s="4" t="str">
        <x:v>How did Harry Wilson complete the dribble?</x:v>
      </x:c>
      <x:c r="K100" s="4" t="str">
        <x:v>已核对论文原生定义/模板；代表题沿用用户表，未逐条核对原始视频</x:v>
      </x:c>
      <x:c r="L100" s="4" t="str">
        <x:v>论文定义级核对；代表题按工作簿题干分析；未逐题观看视频</x:v>
      </x:c>
      <x:c r="M100" s="4" t="str">
        <x:v>https://arxiv.org/pdf/2604.05015</x:v>
      </x:c>
      <x:c r="N100" s="4" t="str">
        <x:v>§3；Appendix Table 4；官方 test 数据预览</x:v>
      </x:c>
      <x:c r="O100" s="4" t="str">
        <x:v>https://huggingface.co/datasets/MME-Benchmarks/Video-MME-v2</x:v>
      </x:c>
    </x:row>
    <x:row r="101" ht="46" customHeight="1">
      <x:c r="A101" s="4" t="str">
        <x:v>src.video_mme_v2.future_event_prediction</x:v>
      </x:c>
      <x:c r="B101" s="4" t="str">
        <x:v>Video-MME-v2</x:v>
      </x:c>
      <x:c r="C101" s="4" t="str">
        <x:v>Future Event Prediction</x:v>
      </x:c>
      <x:c r="D101" s="4" t="str">
        <x:v>P12</x:v>
      </x:c>
      <x:c r="E101" s="14" t="str">
        <x:v>R7</x:v>
      </x:c>
      <x:c r="F101" s="14" t="str">
        <x:v>R7</x:v>
      </x:c>
      <x:c r="G101" s="4" t="str">
        <x:v>R7</x:v>
      </x:c>
      <x:c r="H101" s="4" t="str">
        <x:v>从题目允许的观察前缀预测后续行为；严格禁止读取被预测的未来片段作为证据。</x:v>
      </x:c>
      <x:c r="I101" s="4" t="str">
        <x:v>观察截止；候选未来比较</x:v>
      </x:c>
      <x:c r="J101" s="4" t="str">
        <x:v>What is the woman most likely to do in the end?</x:v>
      </x:c>
      <x:c r="K101" s="4" t="str">
        <x:v>已核对论文原生定义/模板；代表题沿用用户表，未逐条核对原始视频</x:v>
      </x:c>
      <x:c r="L101" s="4" t="str">
        <x:v>论文定义级核对；代表题按工作簿题干分析；未逐题观看视频</x:v>
      </x:c>
      <x:c r="M101" s="4" t="str">
        <x:v>https://arxiv.org/pdf/2604.05015</x:v>
      </x:c>
      <x:c r="N101" s="4" t="str">
        <x:v>§3；Appendix Table 4；官方 test 数据预览</x:v>
      </x:c>
      <x:c r="O101" s="4" t="str">
        <x:v>https://huggingface.co/datasets/MME-Benchmarks/Video-MME-v2</x:v>
      </x:c>
    </x:row>
    <x:row r="102" ht="150" customHeight="1">
      <x:c r="A102" s="4" t="str">
        <x:v>src.video_mme_v2.general_skills_acquisition</x:v>
      </x:c>
      <x:c r="B102" s="4" t="str">
        <x:v>Video-MME-v2</x:v>
      </x:c>
      <x:c r="C102" s="4" t="str">
        <x:v>General Skills Acquisition</x:v>
      </x:c>
      <x:c r="D102" s="4" t="str">
        <x:v>P14</x:v>
      </x:c>
      <x:c r="E102" s="14" t="str">
        <x:v>R6</x:v>
      </x:c>
      <x:c r="F102" s="14" t="str">
        <x:v>R6</x:v>
      </x:c>
      <x:c r="G102" s="4" t="str">
        <x:v>R1 | R3 | R6</x:v>
      </x:c>
      <x:c r="H102" s="4" t="str">
        <x:v>复现烹饪流程中找操作错误需核对条件和步骤关系；直接问某步骤R1，单纯步骤先后R3。不能把整个知识/技能类都当异常检测。</x:v>
      </x:c>
      <x:c r="I102" s="4" t="str">
        <x:v>步骤证据；条件/顺序核验</x:v>
      </x:c>
      <x:c r="J102" s="4" t="str">
        <x:v>After scalding the duck breasts, I flipped the breasts to the flesh side and sprinkled five-spice powder and salt over them. Then, I prepared a mixture of soy sauce, red vinegar, and maltose syrup, which I brushed onto the skin side of the breasts. Based on the video, which of the following (if any) is incorrect in my description of the preparation steps above?</x:v>
      </x:c>
      <x:c r="K102" s="4" t="str">
        <x:v>已核对论文原生定义/模板；代表题沿用用户表，未逐条核对原始视频</x:v>
      </x:c>
      <x:c r="L102" s="4" t="str">
        <x:v>论文定义级核对；代表题按工作簿题干分析；未逐题观看视频</x:v>
      </x:c>
      <x:c r="M102" s="4" t="str">
        <x:v>https://arxiv.org/pdf/2604.05015</x:v>
      </x:c>
      <x:c r="N102" s="4" t="str">
        <x:v>§3；Appendix Table 4；官方 test 数据预览</x:v>
      </x:c>
      <x:c r="O102" s="4" t="str">
        <x:v>https://huggingface.co/datasets/MME-Benchmarks/Video-MME-v2</x:v>
      </x:c>
    </x:row>
    <x:row r="103" ht="46" customHeight="1">
      <x:c r="A103" s="4" t="str">
        <x:v>src.video_mme_v2.high_order_narrative_deconstruction</x:v>
      </x:c>
      <x:c r="B103" s="4" t="str">
        <x:v>Video-MME-v2</x:v>
      </x:c>
      <x:c r="C103" s="4" t="str">
        <x:v>High-Order Narrative Deconstruction</x:v>
      </x:c>
      <x:c r="D103" s="4" t="str">
        <x:v>P11</x:v>
      </x:c>
      <x:c r="E103" s="14" t="str">
        <x:v>R6</x:v>
      </x:c>
      <x:c r="F103" s="14" t="str">
        <x:v>R6</x:v>
      </x:c>
      <x:c r="G103" s="4" t="str">
        <x:v>R6</x:v>
      </x:c>
      <x:c r="H103" s="4" t="str">
        <x:v>解释笑点需把叙事事实与预期/反差联系起来，不等同复述全片。</x:v>
      </x:c>
      <x:c r="I103" s="4" t="str">
        <x:v>叙事证据；预期对照</x:v>
      </x:c>
      <x:c r="J103" s="4" t="str">
        <x:v>In the scene where everyone gets injured, what is the main punchline?</x:v>
      </x:c>
      <x:c r="K103" s="4" t="str">
        <x:v>已核对论文原生定义/模板；代表题沿用用户表，未逐条核对原始视频</x:v>
      </x:c>
      <x:c r="L103" s="4" t="str">
        <x:v>论文定义级核对；代表题按工作簿题干分析；未逐题观看视频</x:v>
      </x:c>
      <x:c r="M103" s="4" t="str">
        <x:v>https://arxiv.org/pdf/2604.05015</x:v>
      </x:c>
      <x:c r="N103" s="4" t="str">
        <x:v>§3；Appendix Table 4；官方 test 数据预览</x:v>
      </x:c>
      <x:c r="O103" s="4" t="str">
        <x:v>https://huggingface.co/datasets/MME-Benchmarks/Video-MME-v2</x:v>
      </x:c>
    </x:row>
    <x:row r="104" ht="66" customHeight="1">
      <x:c r="A104" s="4" t="str">
        <x:v>src.video_mme_v2.individual_social_cognition</x:v>
      </x:c>
      <x:c r="B104" s="4" t="str">
        <x:v>Video-MME-v2</x:v>
      </x:c>
      <x:c r="C104" s="4" t="str">
        <x:v>Individual Social Cognition</x:v>
      </x:c>
      <x:c r="D104" s="4" t="str">
        <x:v>P11</x:v>
      </x:c>
      <x:c r="E104" s="14" t="str">
        <x:v>R6</x:v>
      </x:c>
      <x:c r="F104" s="14" t="str">
        <x:v>R1</x:v>
      </x:c>
      <x:c r="G104" s="4" t="str">
        <x:v>R1 | R6</x:v>
      </x:c>
      <x:c r="H104" s="4" t="str">
        <x:v>访谈中对开源/闭源的立场若明确表达可R1；需从含蓄发言或行为推断才R6。代表题的实际负担需核对片段。</x:v>
      </x:c>
      <x:c r="I104" s="4" t="str">
        <x:v>对话证据；明示/推断区分</x:v>
      </x:c>
      <x:c r="J104" s="4" t="str">
        <x:v>Based on the conversation, what is the interviewee's stance on whether the model should be open-source or closed-source?</x:v>
      </x:c>
      <x:c r="K104" s="4" t="str">
        <x:v>已核对论文原生定义/模板；代表题沿用用户表，未逐条核对原始视频</x:v>
      </x:c>
      <x:c r="L104" s="4" t="str">
        <x:v>论文定义级核对；代表题按工作簿题干分析；未逐题观看视频；样本执行归类待证据确认</x:v>
      </x:c>
      <x:c r="M104" s="4" t="str">
        <x:v>https://arxiv.org/pdf/2604.05015</x:v>
      </x:c>
      <x:c r="N104" s="4" t="str">
        <x:v>§3；Appendix Table 4；官方 test 数据预览</x:v>
      </x:c>
      <x:c r="O104" s="4" t="str">
        <x:v>https://huggingface.co/datasets/MME-Benchmarks/Video-MME-v2</x:v>
      </x:c>
    </x:row>
    <x:row r="105" ht="52" customHeight="1">
      <x:c r="A105" s="4" t="str">
        <x:v>src.video_mme_v2.motion_properties_analysis</x:v>
      </x:c>
      <x:c r="B105" s="4" t="str">
        <x:v>Video-MME-v2</x:v>
      </x:c>
      <x:c r="C105" s="4" t="str">
        <x:v>Motion Properties Analysis</x:v>
      </x:c>
      <x:c r="D105" s="4" t="str">
        <x:v>P02</x:v>
      </x:c>
      <x:c r="E105" s="14" t="str">
        <x:v>R2</x:v>
      </x:c>
      <x:c r="F105" s="14" t="str">
        <x:v>R2</x:v>
      </x:c>
      <x:c r="G105" s="4" t="str">
        <x:v>R2</x:v>
      </x:c>
      <x:c r="H105" s="4" t="str">
        <x:v>抬脚幅度随时间如何变化需要运动状态序列；不一定存在周期。</x:v>
      </x:c>
      <x:c r="I105" s="4" t="str">
        <x:v>运动轨迹；幅度/速度头</x:v>
      </x:c>
      <x:c r="J105" s="4" t="str">
        <x:v>How does the foot-raising amplitude change when the host demonstrates before introducing his video?</x:v>
      </x:c>
      <x:c r="K105" s="4" t="str">
        <x:v>已核对论文原生定义/模板；代表题沿用用户表，未逐条核对原始视频</x:v>
      </x:c>
      <x:c r="L105" s="4" t="str">
        <x:v>论文定义级核对；代表题按工作簿题干分析；未逐题观看视频</x:v>
      </x:c>
      <x:c r="M105" s="4" t="str">
        <x:v>https://arxiv.org/pdf/2604.05015</x:v>
      </x:c>
      <x:c r="N105" s="4" t="str">
        <x:v>§3；Appendix Table 4；官方 test 数据预览</x:v>
      </x:c>
      <x:c r="O105" s="4" t="str">
        <x:v>https://huggingface.co/datasets/MME-Benchmarks/Video-MME-v2</x:v>
      </x:c>
    </x:row>
    <x:row r="106" ht="66" customHeight="1">
      <x:c r="A106" s="4" t="str">
        <x:v>src.video_mme_v2.motion_trajectory_estimation</x:v>
      </x:c>
      <x:c r="B106" s="4" t="str">
        <x:v>Video-MME-v2</x:v>
      </x:c>
      <x:c r="C106" s="4" t="str">
        <x:v>Motion Trajectory Estimation</x:v>
      </x:c>
      <x:c r="D106" s="4" t="str">
        <x:v>P02</x:v>
      </x:c>
      <x:c r="E106" s="14" t="str">
        <x:v>R2</x:v>
      </x:c>
      <x:c r="F106" s="14" t="str">
        <x:v>R2</x:v>
      </x:c>
      <x:c r="G106" s="4" t="str">
        <x:v>R2</x:v>
      </x:c>
      <x:c r="H106" s="4" t="str">
        <x:v>第10、11板球的旋转需要先定位回合再分析运动轨迹。论文Table 4也出现Motion Trajectory Formation命名；不改官方数据标签。</x:v>
      </x:c>
      <x:c r="I106" s="4" t="str">
        <x:v>事件锚点；密集局部轨迹</x:v>
      </x:c>
      <x:c r="J106" s="4" t="str">
        <x:v>In the match between OVTCHAROV and HARIMOTO, during the 10th and 11th strokes of the rally, what was the ball's spin type?</x:v>
      </x:c>
      <x:c r="K106" s="4" t="str">
        <x:v>已核对论文原生定义/模板；代表题沿用用户表，未逐条核对原始视频</x:v>
      </x:c>
      <x:c r="L106" s="4" t="str">
        <x:v>论文定义级核对；代表题按工作簿题干分析；未逐题观看视频</x:v>
      </x:c>
      <x:c r="M106" s="4" t="str">
        <x:v>https://arxiv.org/pdf/2604.05015</x:v>
      </x:c>
      <x:c r="N106" s="4" t="str">
        <x:v>§3；Appendix Table 4；官方 test 数据预览</x:v>
      </x:c>
      <x:c r="O106" s="4" t="str">
        <x:v>https://huggingface.co/datasets/MME-Benchmarks/Video-MME-v2</x:v>
      </x:c>
    </x:row>
    <x:row r="107" ht="66" customHeight="1">
      <x:c r="A107" s="4" t="str">
        <x:v>src.video_mme_v2.narrative_cloze_inference</x:v>
      </x:c>
      <x:c r="B107" s="4" t="str">
        <x:v>Video-MME-v2</x:v>
      </x:c>
      <x:c r="C107" s="4" t="str">
        <x:v>Narrative Cloze Inference</x:v>
      </x:c>
      <x:c r="D107" s="4" t="str">
        <x:v>P11</x:v>
      </x:c>
      <x:c r="E107" s="14" t="str">
        <x:v>R6</x:v>
      </x:c>
      <x:c r="F107" s="14" t="str">
        <x:v>R6</x:v>
      </x:c>
      <x:c r="G107" s="4" t="str">
        <x:v>R1 | R6</x:v>
      </x:c>
      <x:c r="H107" s="4" t="str">
        <x:v>公交车乘客是谁可能直接交代也可能由叙事暗示，不能仅凭题面判定为局部题；暂R6，明示后降为R1。论文使用Narrative Clues Inference别名。</x:v>
      </x:c>
      <x:c r="I107" s="4" t="str">
        <x:v>叙事缺口；视频证据确认</x:v>
      </x:c>
      <x:c r="J107" s="4" t="str">
        <x:v>A bus appears at the beginning of the video. Who are mainly inside the bus?</x:v>
      </x:c>
      <x:c r="K107" s="4" t="str">
        <x:v>已核对论文原生定义/模板；代表题沿用用户表，未逐条核对原始视频</x:v>
      </x:c>
      <x:c r="L107" s="4" t="str">
        <x:v>论文定义级核对；代表题按工作簿题干分析；未逐题观看视频；样本执行归类待证据确认</x:v>
      </x:c>
      <x:c r="M107" s="4" t="str">
        <x:v>https://arxiv.org/pdf/2604.05015</x:v>
      </x:c>
      <x:c r="N107" s="4" t="str">
        <x:v>§3；Appendix Table 4；官方 test 数据预览</x:v>
      </x:c>
      <x:c r="O107" s="4" t="str">
        <x:v>https://huggingface.co/datasets/MME-Benchmarks/Video-MME-v2</x:v>
      </x:c>
    </x:row>
    <x:row r="108" ht="52" customHeight="1">
      <x:c r="A108" s="4" t="str">
        <x:v>src.video_mme_v2.narrative_turning_point_detection</x:v>
      </x:c>
      <x:c r="B108" s="4" t="str">
        <x:v>Video-MME-v2</x:v>
      </x:c>
      <x:c r="C108" s="4" t="str">
        <x:v>Narrative Turning Point Detection</x:v>
      </x:c>
      <x:c r="D108" s="4" t="str">
        <x:v>P11</x:v>
      </x:c>
      <x:c r="E108" s="14" t="str">
        <x:v>R6</x:v>
      </x:c>
      <x:c r="F108" s="14" t="str">
        <x:v>R6</x:v>
      </x:c>
      <x:c r="G108" s="4" t="str">
        <x:v>R6</x:v>
      </x:c>
      <x:c r="H108" s="4" t="str">
        <x:v>最大转折是对事件重要性/叙事结构的判断；事件定位是共享模块，不等于只找时间戳。</x:v>
      </x:c>
      <x:c r="I108" s="4" t="str">
        <x:v>全局梗概辅助；转折证据</x:v>
      </x:c>
      <x:c r="J108" s="4" t="str">
        <x:v>What is the biggest turning point in the plot shown in the video?</x:v>
      </x:c>
      <x:c r="K108" s="4" t="str">
        <x:v>已核对论文原生定义/模板；代表题沿用用户表，未逐条核对原始视频</x:v>
      </x:c>
      <x:c r="L108" s="4" t="str">
        <x:v>论文定义级核对；代表题按工作簿题干分析；未逐题观看视频</x:v>
      </x:c>
      <x:c r="M108" s="4" t="str">
        <x:v>https://arxiv.org/pdf/2604.05015</x:v>
      </x:c>
      <x:c r="N108" s="4" t="str">
        <x:v>§3；Appendix Table 4；官方 test 数据预览</x:v>
      </x:c>
      <x:c r="O108" s="4" t="str">
        <x:v>https://huggingface.co/datasets/MME-Benchmarks/Video-MME-v2</x:v>
      </x:c>
    </x:row>
    <x:row r="109" ht="46" customHeight="1">
      <x:c r="A109" s="4" t="str">
        <x:v>src.video_mme_v2.numerical_calculation</x:v>
      </x:c>
      <x:c r="B109" s="4" t="str">
        <x:v>Video-MME-v2</x:v>
      </x:c>
      <x:c r="C109" s="4" t="str">
        <x:v>Numerical Calculation</x:v>
      </x:c>
      <x:c r="D109" s="4" t="str">
        <x:v>P15</x:v>
      </x:c>
      <x:c r="E109" s="14" t="str">
        <x:v>R8</x:v>
      </x:c>
      <x:c r="F109" s="14" t="str">
        <x:v>R8</x:v>
      </x:c>
      <x:c r="G109" s="4" t="str">
        <x:v>R8</x:v>
      </x:c>
      <x:c r="H109" s="4" t="str">
        <x:v>读取图式/变量约束后求x与b关系，输出可核验的符号或数值结果。</x:v>
      </x:c>
      <x:c r="I109" s="4" t="str">
        <x:v>视觉符号；确定性求解；单位</x:v>
      </x:c>
      <x:c r="J109" s="4" t="str">
        <x:v>What is the relationship between x and b?</x:v>
      </x:c>
      <x:c r="K109" s="4" t="str">
        <x:v>已核对论文原生定义/模板；代表题沿用用户表，未逐条核对原始视频</x:v>
      </x:c>
      <x:c r="L109" s="4" t="str">
        <x:v>论文定义级核对；代表题按工作簿题干分析；未逐题观看视频</x:v>
      </x:c>
      <x:c r="M109" s="4" t="str">
        <x:v>https://arxiv.org/pdf/2604.05015</x:v>
      </x:c>
      <x:c r="N109" s="4" t="str">
        <x:v>§3；Appendix Table 4；官方 test 数据预览</x:v>
      </x:c>
      <x:c r="O109" s="4" t="str">
        <x:v>https://huggingface.co/datasets/MME-Benchmarks/Video-MME-v2</x:v>
      </x:c>
    </x:row>
    <x:row r="110" ht="52" customHeight="1">
      <x:c r="A110" s="4" t="str">
        <x:v>src.video_mme_v2.object_appearance_ordering</x:v>
      </x:c>
      <x:c r="B110" s="4" t="str">
        <x:v>Video-MME-v2</x:v>
      </x:c>
      <x:c r="C110" s="4" t="str">
        <x:v>Object Appearance Ordering</x:v>
      </x:c>
      <x:c r="D110" s="4" t="str">
        <x:v>P07</x:v>
      </x:c>
      <x:c r="E110" s="14" t="str">
        <x:v>R3</x:v>
      </x:c>
      <x:c r="F110" s="14" t="str">
        <x:v>R3</x:v>
      </x:c>
      <x:c r="G110" s="4" t="str">
        <x:v>R3</x:v>
      </x:c>
      <x:c r="H110" s="4" t="str">
        <x:v>最后五种水生动物的出现顺序依赖事件时间索引及尾段覆盖；按题目指定出现/首次/末次口径。</x:v>
      </x:c>
      <x:c r="I110" s="4" t="str">
        <x:v>出现账本；身份绑定；尾段覆盖</x:v>
      </x:c>
      <x:c r="J110" s="4" t="str">
        <x:v>What is the sequence of last five aquatic animals appearing in the video?</x:v>
      </x:c>
      <x:c r="K110" s="4" t="str">
        <x:v>已核对论文原生定义/模板；代表题沿用用户表，未逐条核对原始视频</x:v>
      </x:c>
      <x:c r="L110" s="4" t="str">
        <x:v>论文定义级核对；代表题按工作簿题干分析；未逐题观看视频</x:v>
      </x:c>
      <x:c r="M110" s="4" t="str">
        <x:v>https://arxiv.org/pdf/2604.05015</x:v>
      </x:c>
      <x:c r="N110" s="4" t="str">
        <x:v>§3；Appendix Table 4；官方 test 数据预览</x:v>
      </x:c>
      <x:c r="O110" s="4" t="str">
        <x:v>https://huggingface.co/datasets/MME-Benchmarks/Video-MME-v2</x:v>
      </x:c>
    </x:row>
    <x:row r="111" ht="52" customHeight="1">
      <x:c r="A111" s="4" t="str">
        <x:v>src.video_mme_v2.professional_knowledge_acquisition</x:v>
      </x:c>
      <x:c r="B111" s="4" t="str">
        <x:v>Video-MME-v2</x:v>
      </x:c>
      <x:c r="C111" s="4" t="str">
        <x:v>Professional Knowledge Acquisition</x:v>
      </x:c>
      <x:c r="D111" s="4" t="str">
        <x:v>P15</x:v>
      </x:c>
      <x:c r="E111" s="14" t="str">
        <x:v>R6</x:v>
      </x:c>
      <x:c r="F111" s="14" t="str">
        <x:v>R8</x:v>
      </x:c>
      <x:c r="G111" s="4" t="str">
        <x:v>R1 | R6 | R8</x:v>
      </x:c>
      <x:c r="H111" s="4" t="str">
        <x:v>矩形面积示例R8；但专业知识类本身还含明示知识取证R1和概念应用R6，不能整类等同数学求解。</x:v>
      </x:c>
      <x:c r="I111" s="4" t="str">
        <x:v>知识来源；图式约束；计算</x:v>
      </x:c>
      <x:c r="J111" s="4" t="str">
        <x:v>What is the area of the entire rectangle?</x:v>
      </x:c>
      <x:c r="K111" s="4" t="str">
        <x:v>已核对论文原生定义/模板；代表题沿用用户表，未逐条核对原始视频</x:v>
      </x:c>
      <x:c r="L111" s="4" t="str">
        <x:v>论文定义级核对；代表题按工作簿题干分析；未逐题观看视频</x:v>
      </x:c>
      <x:c r="M111" s="4" t="str">
        <x:v>https://arxiv.org/pdf/2604.05015</x:v>
      </x:c>
      <x:c r="N111" s="4" t="str">
        <x:v>§3；Appendix Table 4；官方 test 数据预览</x:v>
      </x:c>
      <x:c r="O111" s="4" t="str">
        <x:v>https://huggingface.co/datasets/MME-Benchmarks/Video-MME-v2</x:v>
      </x:c>
    </x:row>
    <x:row r="112" ht="52" customHeight="1">
      <x:c r="A112" s="4" t="str">
        <x:v>src.video_mme_v2.repetitive_action_counting</x:v>
      </x:c>
      <x:c r="B112" s="4" t="str">
        <x:v>Video-MME-v2</x:v>
      </x:c>
      <x:c r="C112" s="4" t="str">
        <x:v>Repetitive Action Counting</x:v>
      </x:c>
      <x:c r="D112" s="4" t="str">
        <x:v>P05</x:v>
      </x:c>
      <x:c r="E112" s="14" t="str">
        <x:v>R3</x:v>
      </x:c>
      <x:c r="F112" s="14" t="str">
        <x:v>R3</x:v>
      </x:c>
      <x:c r="G112" s="4" t="str">
        <x:v>R3</x:v>
      </x:c>
      <x:c r="H112" s="4" t="str">
        <x:v>数soda pop对应动作完成了几次，需要独立occurrence边界与窗口去重。</x:v>
      </x:c>
      <x:c r="I112" s="4" t="str">
        <x:v>事件边界；重复次数；完整覆盖</x:v>
      </x:c>
      <x:c r="J112" s="4" t="str">
        <x:v>How many times did the video demonstrate the action corresponding to "soda pop" when teaching Section 1?</x:v>
      </x:c>
      <x:c r="K112" s="4" t="str">
        <x:v>已核对论文原生定义/模板；代表题沿用用户表，未逐条核对原始视频</x:v>
      </x:c>
      <x:c r="L112" s="4" t="str">
        <x:v>论文定义级核对；代表题按工作簿题干分析；未逐题观看视频</x:v>
      </x:c>
      <x:c r="M112" s="4" t="str">
        <x:v>https://arxiv.org/pdf/2604.05015</x:v>
      </x:c>
      <x:c r="N112" s="4" t="str">
        <x:v>§3；Appendix Table 4；官方 test 数据预览</x:v>
      </x:c>
      <x:c r="O112" s="4" t="str">
        <x:v>https://huggingface.co/datasets/MME-Benchmarks/Video-MME-v2</x:v>
      </x:c>
    </x:row>
    <x:row r="113" ht="52" customHeight="1">
      <x:c r="A113" s="4" t="str">
        <x:v>src.video_mme_v2.scene_transformation_detection</x:v>
      </x:c>
      <x:c r="B113" s="4" t="str">
        <x:v>Video-MME-v2</x:v>
      </x:c>
      <x:c r="C113" s="4" t="str">
        <x:v>Scene Transformation Detection</x:v>
      </x:c>
      <x:c r="D113" s="4" t="str">
        <x:v>P06</x:v>
      </x:c>
      <x:c r="E113" s="14" t="str">
        <x:v>R2</x:v>
      </x:c>
      <x:c r="F113" s="14" t="str">
        <x:v>R2</x:v>
      </x:c>
      <x:c r="G113" s="4" t="str">
        <x:v>R2 | R3</x:v>
      </x:c>
      <x:c r="H113" s="4" t="str">
        <x:v>Level 3到4装置变化是对齐后的状态差分；若问场景切换何时/顺序，改事件时间账本R3。</x:v>
      </x:c>
      <x:c r="I113" s="4" t="str">
        <x:v>场景/对象对齐；前后差分</x:v>
      </x:c>
      <x:c r="J113" s="4" t="str">
        <x:v>Compared to Level 3, what changes were made to the experimental setup in Level 4?</x:v>
      </x:c>
      <x:c r="K113" s="4" t="str">
        <x:v>已核对论文原生定义/模板；代表题沿用用户表，未逐条核对原始视频</x:v>
      </x:c>
      <x:c r="L113" s="4" t="str">
        <x:v>论文定义级核对；代表题按工作簿题干分析；未逐题观看视频</x:v>
      </x:c>
      <x:c r="M113" s="4" t="str">
        <x:v>https://arxiv.org/pdf/2604.05015</x:v>
      </x:c>
      <x:c r="N113" s="4" t="str">
        <x:v>§3；Appendix Table 4；官方 test 数据预览</x:v>
      </x:c>
      <x:c r="O113" s="4" t="str">
        <x:v>https://huggingface.co/datasets/MME-Benchmarks/Video-MME-v2</x:v>
      </x:c>
    </x:row>
    <x:row r="114" ht="80" customHeight="1">
      <x:c r="A114" s="4" t="str">
        <x:v>src.video_mme_v2.spatial_understanding</x:v>
      </x:c>
      <x:c r="B114" s="4" t="str">
        <x:v>Video-MME-v2</x:v>
      </x:c>
      <x:c r="C114" s="4" t="str">
        <x:v>Spatial Understanding</x:v>
      </x:c>
      <x:c r="D114" s="4" t="str">
        <x:v>P04</x:v>
      </x:c>
      <x:c r="E114" s="14" t="str">
        <x:v>R9</x:v>
      </x:c>
      <x:c r="F114" s="14" t="str">
        <x:v>R9</x:v>
      </x:c>
      <x:c r="G114" s="4" t="str">
        <x:v>R1 | R9</x:v>
      </x:c>
      <x:c r="H114" s="4" t="str">
        <x:v>追逐后朝向相对初始方向需统一参考系并更新方向状态；屏幕中直接左右可R1。</x:v>
      </x:c>
      <x:c r="I114" s="4" t="str">
        <x:v>参考系；方向更新</x:v>
      </x:c>
      <x:c r="J114" s="4" t="str">
        <x:v>In the first target-chasing game, what were the facing directions upon completing the first and second target-chasing tasks, respectively, relative to the initial orientation?</x:v>
      </x:c>
      <x:c r="K114" s="4" t="str">
        <x:v>已核对论文原生定义/模板；代表题沿用用户表，未逐条核对原始视频</x:v>
      </x:c>
      <x:c r="L114" s="4" t="str">
        <x:v>论文定义级核对；代表题按工作簿题干分析；未逐题观看视频</x:v>
      </x:c>
      <x:c r="M114" s="4" t="str">
        <x:v>https://arxiv.org/pdf/2604.05015</x:v>
      </x:c>
      <x:c r="N114" s="4" t="str">
        <x:v>§3；Appendix Table 4；官方 test 数据预览</x:v>
      </x:c>
      <x:c r="O114" s="4" t="str">
        <x:v>https://huggingface.co/datasets/MME-Benchmarks/Video-MME-v2</x:v>
      </x:c>
    </x:row>
    <x:row r="115" ht="46" customHeight="1">
      <x:c r="A115" s="4" t="str">
        <x:v>src.video_mme_v2.symbolic_metaphorical_interpretation</x:v>
      </x:c>
      <x:c r="B115" s="4" t="str">
        <x:v>Video-MME-v2</x:v>
      </x:c>
      <x:c r="C115" s="4" t="str">
        <x:v>Symbolic/Metaphorical Interpretation</x:v>
      </x:c>
      <x:c r="D115" s="4" t="str">
        <x:v>P10 | P11</x:v>
      </x:c>
      <x:c r="E115" s="14" t="str">
        <x:v>R6</x:v>
      </x:c>
      <x:c r="F115" s="14" t="str">
        <x:v>R6</x:v>
      </x:c>
      <x:c r="G115" s="4" t="str">
        <x:v>R5 | R6</x:v>
      </x:c>
      <x:c r="H115" s="4" t="str">
        <x:v>短片表达的隐喻/寓意需要事实与抽象含义的关系推断；仅复述剧情/体裁走R5。</x:v>
      </x:c>
      <x:c r="I115" s="4" t="str">
        <x:v>叙事证据；避免常识替代视频</x:v>
      </x:c>
      <x:c r="J115" s="4" t="str">
        <x:v>What is the short film about?</x:v>
      </x:c>
      <x:c r="K115" s="4" t="str">
        <x:v>已核对论文原生定义/模板；代表题沿用用户表，未逐条核对原始视频</x:v>
      </x:c>
      <x:c r="L115" s="4" t="str">
        <x:v>论文定义级核对；代表题按工作簿题干分析；未逐题观看视频</x:v>
      </x:c>
      <x:c r="M115" s="4" t="str">
        <x:v>https://arxiv.org/pdf/2604.05015</x:v>
      </x:c>
      <x:c r="N115" s="4" t="str">
        <x:v>§3；Appendix Table 4；官方 test 数据预览</x:v>
      </x:c>
      <x:c r="O115" s="4" t="str">
        <x:v>https://huggingface.co/datasets/MME-Benchmarks/Video-MME-v2</x:v>
      </x:c>
    </x:row>
    <x:row r="116" ht="52" customHeight="1">
      <x:c r="A116" s="4" t="str">
        <x:v>src.video_mme_v2.temporal_action_localization</x:v>
      </x:c>
      <x:c r="B116" s="4" t="str">
        <x:v>Video-MME-v2</x:v>
      </x:c>
      <x:c r="C116" s="4" t="str">
        <x:v>Temporal Action Localization</x:v>
      </x:c>
      <x:c r="D116" s="4" t="str">
        <x:v>P06</x:v>
      </x:c>
      <x:c r="E116" s="14" t="str">
        <x:v>R3</x:v>
      </x:c>
      <x:c r="F116" s="14" t="str">
        <x:v>R3</x:v>
      </x:c>
      <x:c r="G116" s="4" t="str">
        <x:v>R3</x:v>
      </x:c>
      <x:c r="H116" s="4" t="str">
        <x:v>拉上窗帘后第一件事需要锚点之后的有序事件与排除中间遗漏，不只是任意找到一个相关片段。</x:v>
      </x:c>
      <x:c r="I116" s="4" t="str">
        <x:v>锚点；after+first</x:v>
      </x:c>
      <x:c r="J116" s="4" t="str">
        <x:v>What is the first thing that happens after the boy pulls the curtain closed?</x:v>
      </x:c>
      <x:c r="K116" s="4" t="str">
        <x:v>已核对论文原生定义/模板；代表题沿用用户表，未逐条核对原始视频</x:v>
      </x:c>
      <x:c r="L116" s="4" t="str">
        <x:v>论文定义级核对；代表题按工作簿题干分析；未逐题观看视频</x:v>
      </x:c>
      <x:c r="M116" s="4" t="str">
        <x:v>https://arxiv.org/pdf/2604.05015</x:v>
      </x:c>
      <x:c r="N116" s="4" t="str">
        <x:v>§3；Appendix Table 4；官方 test 数据预览</x:v>
      </x:c>
      <x:c r="O116" s="4" t="str">
        <x:v>https://huggingface.co/datasets/MME-Benchmarks/Video-MME-v2</x:v>
      </x:c>
    </x:row>
    <x:row r="117" ht="122" customHeight="1">
      <x:c r="A117" s="4" t="str">
        <x:v>src.video_mme_v2.temporal_periodicity_detection</x:v>
      </x:c>
      <x:c r="B117" s="4" t="str">
        <x:v>Video-MME-v2</x:v>
      </x:c>
      <x:c r="C117" s="4" t="str">
        <x:v>Temporal Periodicity Detection</x:v>
      </x:c>
      <x:c r="D117" s="4" t="str">
        <x:v>P03</x:v>
      </x:c>
      <x:c r="E117" s="14" t="str">
        <x:v>R2</x:v>
      </x:c>
      <x:c r="F117" s="14" t="str">
        <x:v>R2</x:v>
      </x:c>
      <x:c r="G117" s="4" t="str">
        <x:v>R2 | R7</x:v>
      </x:c>
      <x:c r="H117" s="4" t="str">
        <x:v>周期动作中的下一相位可由已观察轨迹延续，主R2；开放式未来行为预测才R7。不能见到next一词就归预测。</x:v>
      </x:c>
      <x:c r="I117" s="4" t="str">
        <x:v>周期/相位头；观察截止</x:v>
      </x:c>
      <x:c r="J117" s="4" t="str">
        <x:v>When the subtitle "Think about drawing the big circles with your arms" appears and this set of movements is completed, assuming the demonstrator wants to continue doing this set of movements, from the demonstrator's perspective, what movement is he most likely doing next?</x:v>
      </x:c>
      <x:c r="K117" s="4" t="str">
        <x:v>已核对论文原生定义/模板；代表题沿用用户表，未逐条核对原始视频</x:v>
      </x:c>
      <x:c r="L117" s="4" t="str">
        <x:v>论文定义级核对；代表题按工作簿题干分析；未逐题观看视频</x:v>
      </x:c>
      <x:c r="M117" s="4" t="str">
        <x:v>https://arxiv.org/pdf/2604.05015</x:v>
      </x:c>
      <x:c r="N117" s="4" t="str">
        <x:v>§3；Appendix Table 4；官方 test 数据预览</x:v>
      </x:c>
      <x:c r="O117" s="4" t="str">
        <x:v>https://huggingface.co/datasets/MME-Benchmarks/Video-MME-v2</x:v>
      </x:c>
    </x:row>
    <x:row r="118" ht="94" customHeight="1">
      <x:c r="A118" s="4" t="str">
        <x:v>src.video_mme_v2.vision_guided_audio_description</x:v>
      </x:c>
      <x:c r="B118" s="4" t="str">
        <x:v>Video-MME-v2</x:v>
      </x:c>
      <x:c r="C118" s="4" t="str">
        <x:v>Vision-Guided Audio Description</x:v>
      </x:c>
      <x:c r="D118" s="4" t="str">
        <x:v>P01</x:v>
      </x:c>
      <x:c r="E118" s="14" t="str">
        <x:v>R1</x:v>
      </x:c>
      <x:c r="F118" s="14" t="str">
        <x:v>R1</x:v>
      </x:c>
      <x:c r="G118" s="4" t="str">
        <x:v>R1</x:v>
      </x:c>
      <x:c r="H118" s="4" t="str">
        <x:v>先按人物/街景定位，再读取同一时段说了什么；是局部跨模态事实，不必独立音画融合主pipeline。</x:v>
      </x:c>
      <x:c r="I118" s="4" t="str">
        <x:v>必要音频或允许转写；音画对齐</x:v>
      </x:c>
      <x:c r="J118" s="4" t="str">
        <x:v>In the video, on a nighttime street, a blond man wearing a light blue shirt and a backpack speaks to the camera and waves. Beside him is a woman in a red dress wearing glasses. What has he said?</x:v>
      </x:c>
      <x:c r="K118" s="4" t="str">
        <x:v>已核对论文原生定义/模板；代表题沿用用户表，未逐条核对原始视频</x:v>
      </x:c>
      <x:c r="L118" s="4" t="str">
        <x:v>论文定义级核对；代表题按工作簿题干分析；未逐题观看视频</x:v>
      </x:c>
      <x:c r="M118" s="4" t="str">
        <x:v>https://arxiv.org/pdf/2604.05015</x:v>
      </x:c>
      <x:c r="N118" s="4" t="str">
        <x:v>§3；Appendix Table 4；官方 test 数据预览</x:v>
      </x:c>
      <x:c r="O118" s="4" t="str">
        <x:v>https://huggingface.co/datasets/MME-Benchmarks/Video-MME-v2</x:v>
      </x:c>
    </x:row>
    <x:row r="119" ht="52" customHeight="1">
      <x:c r="A119" s="4" t="str">
        <x:v>src.video_mme_v2.visual_recognition</x:v>
      </x:c>
      <x:c r="B119" s="4" t="str">
        <x:v>Video-MME-v2</x:v>
      </x:c>
      <x:c r="C119" s="4" t="str">
        <x:v>Visual Recognition</x:v>
      </x:c>
      <x:c r="D119" s="4" t="str">
        <x:v>P01</x:v>
      </x:c>
      <x:c r="E119" s="14" t="str">
        <x:v>R1</x:v>
      </x:c>
      <x:c r="F119" s="14" t="str">
        <x:v>R1</x:v>
      </x:c>
      <x:c r="G119" s="4" t="str">
        <x:v>R1 | R2 | R4</x:v>
      </x:c>
      <x:c r="H119" s="4" t="str">
        <x:v>球是否在壳下，若揭示后直接可见走R1；若全程遮挡须追踪R2；全片不存在性需要覆盖清单R4。不能仅从题面保证直接可见。</x:v>
      </x:c>
      <x:c r="I119" s="4" t="str">
        <x:v>局部观察；可选身份追踪/否定覆盖</x:v>
      </x:c>
      <x:c r="J119" s="4" t="str">
        <x:v>Does the ball exist underneath any of the shells?</x:v>
      </x:c>
      <x:c r="K119" s="4" t="str">
        <x:v>已核对论文原生定义/模板；代表题沿用用户表，未逐条核对原始视频</x:v>
      </x:c>
      <x:c r="L119" s="4" t="str">
        <x:v>论文定义级核对；代表题按工作簿题干分析；未逐题观看视频</x:v>
      </x:c>
      <x:c r="M119" s="4" t="str">
        <x:v>https://arxiv.org/pdf/2604.05015</x:v>
      </x:c>
      <x:c r="N119" s="4" t="str">
        <x:v>§3；Appendix Table 4；官方 test 数据预览</x:v>
      </x:c>
      <x:c r="O119" s="4" t="str">
        <x:v>https://huggingface.co/datasets/MME-Benchmarks/Video-MME-v2</x:v>
      </x:c>
    </x:row>
    <x:row r="120" ht="52" customHeight="1">
      <x:c r="A120" s="4" t="str">
        <x:v>src.video_mme_v2.visual_audio_collaborative_reasoning</x:v>
      </x:c>
      <x:c r="B120" s="4" t="str">
        <x:v>Video-MME-v2</x:v>
      </x:c>
      <x:c r="C120" s="4" t="str">
        <x:v>Visual-Audio Collaborative Reasoning</x:v>
      </x:c>
      <x:c r="D120" s="4" t="str">
        <x:v>P11 | P13</x:v>
      </x:c>
      <x:c r="E120" s="14" t="str">
        <x:v>R6</x:v>
      </x:c>
      <x:c r="F120" s="14" t="str">
        <x:v>R6</x:v>
      </x:c>
      <x:c r="G120" s="4" t="str">
        <x:v>R1 | R6</x:v>
      </x:c>
      <x:c r="H120" s="4" t="str">
        <x:v>母亲族裔只能依据叙事中明确提供/合理关联的身份事实，不从面貌猜测；直接音画事实绑定可R1，需要多条关系推断R6。</x:v>
      </x:c>
      <x:c r="I120" s="4" t="str">
        <x:v>必要音画证据；角色绑定；关系核验</x:v>
      </x:c>
      <x:c r="J120" s="4" t="str">
        <x:v>What is the ethnicity of the protagonist's mother?</x:v>
      </x:c>
      <x:c r="K120" s="4" t="str">
        <x:v>已核对论文原生定义/模板；代表题沿用用户表，未逐条核对原始视频</x:v>
      </x:c>
      <x:c r="L120" s="4" t="str">
        <x:v>论文定义级核对；代表题按工作簿题干分析；未逐题观看视频</x:v>
      </x:c>
      <x:c r="M120" s="4" t="str">
        <x:v>https://arxiv.org/pdf/2604.05015</x:v>
      </x:c>
      <x:c r="N120" s="4" t="str">
        <x:v>§3；Appendix Table 4；官方 test 数据预览</x:v>
      </x:c>
      <x:c r="O120" s="4" t="str">
        <x:v>https://huggingface.co/datasets/MME-Benchmarks/Video-MME-v2</x:v>
      </x:c>
    </x:row>
    <x:row r="121" ht="52" customHeight="1">
      <x:c r="A121" s="4" t="str">
        <x:v>src.vsi_bench.absolute_distance</x:v>
      </x:c>
      <x:c r="B121" s="4" t="str">
        <x:v>VSI-Bench</x:v>
      </x:c>
      <x:c r="C121" s="4" t="str">
        <x:v>Absolute Distance</x:v>
      </x:c>
      <x:c r="D121" s="4" t="str">
        <x:v>P18</x:v>
      </x:c>
      <x:c r="E121" s="14" t="str">
        <x:v>R9</x:v>
      </x:c>
      <x:c r="F121" s="14" t="str">
        <x:v>R9</x:v>
      </x:c>
      <x:c r="G121" s="4" t="str">
        <x:v>R9</x:v>
      </x:c>
      <x:c r="H121" s="4" t="str">
        <x:v>估计物体最近点之间的米制距离，需要带尺度的局部场景表示；视频不给精确尺度时保留不确定性，不读取GT深度/网格。</x:v>
      </x:c>
      <x:c r="I121" s="4" t="str">
        <x:v>跨视角；尺度；最近点/单位</x:v>
      </x:c>
      <x:c r="J121" s="4" t="str">
        <x:v>Measuring from the closest point of each object, what is the distance between the sofa and the stove (in meters)?</x:v>
      </x:c>
      <x:c r="K121" s="4" t="str">
        <x:v>已核对论文原生定义/模板；代表题沿用用户表，未逐条核对原始视频</x:v>
      </x:c>
      <x:c r="L121" s="4" t="str">
        <x:v>论文定义级核对；代表题按工作簿题干分析；未逐题观看视频</x:v>
      </x:c>
      <x:c r="M121" s="4" t="str">
        <x:v>https://arxiv.org/pdf/2412.14171</x:v>
      </x:c>
      <x:c r="N121" s="4" t="str">
        <x:v>§3；Appendix Table 4 任务模板</x:v>
      </x:c>
      <x:c r="O121" s="4" t="str">
        <x:v>https://huggingface.co/datasets/nyu-visionx/VSI-Bench</x:v>
      </x:c>
    </x:row>
    <x:row r="122" ht="66" customHeight="1">
      <x:c r="A122" s="4" t="str">
        <x:v>src.vsi_bench.appearance_order</x:v>
      </x:c>
      <x:c r="B122" s="4" t="str">
        <x:v>VSI-Bench</x:v>
      </x:c>
      <x:c r="C122" s="4" t="str">
        <x:v>Appearance Order</x:v>
      </x:c>
      <x:c r="D122" s="4" t="str">
        <x:v>P07</x:v>
      </x:c>
      <x:c r="E122" s="14" t="str">
        <x:v>R3</x:v>
      </x:c>
      <x:c r="F122" s="14" t="str">
        <x:v>R3</x:v>
      </x:c>
      <x:c r="G122" s="4" t="str">
        <x:v>R3</x:v>
      </x:c>
      <x:c r="H122" s="4" t="str">
        <x:v>按视频中类别首次出现排序；题干will不表示预测不可见未来，需阅读允许的完整视频范围。</x:v>
      </x:c>
      <x:c r="I122" s="4" t="str">
        <x:v>首现账本；类别去重</x:v>
      </x:c>
      <x:c r="J122" s="4" t="str">
        <x:v>What will be the first-time appearance order of the following categories in the video: ceiling light, cup, heater, door?</x:v>
      </x:c>
      <x:c r="K122" s="4" t="str">
        <x:v>已核对论文原生定义/模板；代表题沿用用户表，未逐条核对原始视频</x:v>
      </x:c>
      <x:c r="L122" s="4" t="str">
        <x:v>论文定义级核对；代表题按工作簿题干分析；未逐题观看视频</x:v>
      </x:c>
      <x:c r="M122" s="4" t="str">
        <x:v>https://arxiv.org/pdf/2412.14171</x:v>
      </x:c>
      <x:c r="N122" s="4" t="str">
        <x:v>§3；Appendix Table 4 任务模板</x:v>
      </x:c>
      <x:c r="O122" s="4" t="str">
        <x:v>https://huggingface.co/datasets/nyu-visionx/VSI-Bench</x:v>
      </x:c>
    </x:row>
    <x:row r="123" ht="52" customHeight="1">
      <x:c r="A123" s="4" t="str">
        <x:v>src.vsi_bench.object_count</x:v>
      </x:c>
      <x:c r="B123" s="4" t="str">
        <x:v>VSI-Bench</x:v>
      </x:c>
      <x:c r="C123" s="4" t="str">
        <x:v>Object Count</x:v>
      </x:c>
      <x:c r="D123" s="4" t="str">
        <x:v>P16</x:v>
      </x:c>
      <x:c r="E123" s="14" t="str">
        <x:v>R4</x:v>
      </x:c>
      <x:c r="F123" s="14" t="str">
        <x:v>R4</x:v>
      </x:c>
      <x:c r="G123" s="4" t="str">
        <x:v>R4</x:v>
      </x:c>
      <x:c r="H123" s="4" t="str">
        <x:v>房间内桌子总数需多视角实例清单及重识别，不是每帧各数一遍再相加，也不必用完整3D重建。</x:v>
      </x:c>
      <x:c r="I123" s="4" t="str">
        <x:v>跨视角身份；覆盖；实例去重</x:v>
      </x:c>
      <x:c r="J123" s="4" t="str">
        <x:v>How many table(s) are in this room?</x:v>
      </x:c>
      <x:c r="K123" s="4" t="str">
        <x:v>已核对论文原生定义/模板；代表题沿用用户表，未逐条核对原始视频</x:v>
      </x:c>
      <x:c r="L123" s="4" t="str">
        <x:v>论文定义级核对；代表题按工作簿题干分析；未逐题观看视频</x:v>
      </x:c>
      <x:c r="M123" s="4" t="str">
        <x:v>https://arxiv.org/pdf/2412.14171</x:v>
      </x:c>
      <x:c r="N123" s="4" t="str">
        <x:v>§3；Appendix Table 4 任务模板</x:v>
      </x:c>
      <x:c r="O123" s="4" t="str">
        <x:v>https://huggingface.co/datasets/nyu-visionx/VSI-Bench</x:v>
      </x:c>
    </x:row>
    <x:row r="124" ht="52" customHeight="1">
      <x:c r="A124" s="4" t="str">
        <x:v>src.vsi_bench.object_size</x:v>
      </x:c>
      <x:c r="B124" s="4" t="str">
        <x:v>VSI-Bench</x:v>
      </x:c>
      <x:c r="C124" s="4" t="str">
        <x:v>Object Size</x:v>
      </x:c>
      <x:c r="D124" s="4" t="str">
        <x:v>P18</x:v>
      </x:c>
      <x:c r="E124" s="14" t="str">
        <x:v>R9</x:v>
      </x:c>
      <x:c r="F124" s="14" t="str">
        <x:v>R9</x:v>
      </x:c>
      <x:c r="G124" s="4" t="str">
        <x:v>R9</x:v>
      </x:c>
      <x:c r="H124" s="4" t="str">
        <x:v>炉灶最长边的厘米数需要尺度估计及可见形状/多视角证据；单目估计并不保证精确。</x:v>
      </x:c>
      <x:c r="I124" s="4" t="str">
        <x:v>尺度；形状；单位</x:v>
      </x:c>
      <x:c r="J124" s="4" t="str">
        <x:v>What is the length of the longest dimension (length, width, or height) of the stove, measured in centimeters?</x:v>
      </x:c>
      <x:c r="K124" s="4" t="str">
        <x:v>已核对论文原生定义/模板；代表题沿用用户表，未逐条核对原始视频</x:v>
      </x:c>
      <x:c r="L124" s="4" t="str">
        <x:v>论文定义级核对；代表题按工作簿题干分析；未逐题观看视频</x:v>
      </x:c>
      <x:c r="M124" s="4" t="str">
        <x:v>https://arxiv.org/pdf/2412.14171</x:v>
      </x:c>
      <x:c r="N124" s="4" t="str">
        <x:v>§3；Appendix Table 4 任务模板</x:v>
      </x:c>
      <x:c r="O124" s="4" t="str">
        <x:v>https://huggingface.co/datasets/nyu-visionx/VSI-Bench</x:v>
      </x:c>
    </x:row>
    <x:row r="125" ht="122" customHeight="1">
      <x:c r="A125" s="4" t="str">
        <x:v>src.vsi_bench.relative_direction</x:v>
      </x:c>
      <x:c r="B125" s="4" t="str">
        <x:v>VSI-Bench</x:v>
      </x:c>
      <x:c r="C125" s="4" t="str">
        <x:v>Relative Direction</x:v>
      </x:c>
      <x:c r="D125" s="4" t="str">
        <x:v>P04</x:v>
      </x:c>
      <x:c r="E125" s="14" t="str">
        <x:v>R9</x:v>
      </x:c>
      <x:c r="F125" s="14" t="str">
        <x:v>R9</x:v>
      </x:c>
      <x:c r="G125" s="4" t="str">
        <x:v>R9</x:v>
      </x:c>
      <x:c r="H125" s="4" t="str">
        <x:v>站炉灶面向沙发判断电视方位，是物体定义的参考系变换，不要求沿相机轨迹积分；按题目排除边界方向等定义作答。</x:v>
      </x:c>
      <x:c r="I125" s="4" t="str">
        <x:v>场景参考系；方位查询</x:v>
      </x:c>
      <x:c r="J125" s="4" t="str">
        <x:v>If I am standing by the stove and facing the sofa, is the tv to my front-left, front-right, back-left, or back-right?
The directions refer to the quadrants of a Cartesian plane (if I am standing at the origin and facing along the positive y-axis).</x:v>
      </x:c>
      <x:c r="K125" s="4" t="str">
        <x:v>已核对论文原生定义/模板；代表题沿用用户表，未逐条核对原始视频</x:v>
      </x:c>
      <x:c r="L125" s="4" t="str">
        <x:v>论文定义级核对；代表题按工作簿题干分析；未逐题观看视频</x:v>
      </x:c>
      <x:c r="M125" s="4" t="str">
        <x:v>https://arxiv.org/pdf/2412.14171</x:v>
      </x:c>
      <x:c r="N125" s="4" t="str">
        <x:v>§3；Appendix Table 4 任务模板</x:v>
      </x:c>
      <x:c r="O125" s="4" t="str">
        <x:v>https://huggingface.co/datasets/nyu-visionx/VSI-Bench</x:v>
      </x:c>
    </x:row>
    <x:row r="126" ht="66" customHeight="1">
      <x:c r="A126" s="4" t="str">
        <x:v>src.vsi_bench.relative_distance</x:v>
      </x:c>
      <x:c r="B126" s="4" t="str">
        <x:v>VSI-Bench</x:v>
      </x:c>
      <x:c r="C126" s="4" t="str">
        <x:v>Relative Distance</x:v>
      </x:c>
      <x:c r="D126" s="4" t="str">
        <x:v>P18</x:v>
      </x:c>
      <x:c r="E126" s="14" t="str">
        <x:v>R9</x:v>
      </x:c>
      <x:c r="F126" s="14" t="str">
        <x:v>R9</x:v>
      </x:c>
      <x:c r="G126" s="4" t="str">
        <x:v>R9</x:v>
      </x:c>
      <x:c r="H126" s="4" t="str">
        <x:v>比较各物体与电视的最近距离，可用相对尺度/局部几何，不要求先恢复绝对米制地图。</x:v>
      </x:c>
      <x:c r="I126" s="4" t="str">
        <x:v>对象图；相对几何；argmin</x:v>
      </x:c>
      <x:c r="J126" s="4" t="str">
        <x:v>Measuring from the closest point of each object, which of these objects (chair, stool, stove, sofa) is the closest to the tv?</x:v>
      </x:c>
      <x:c r="K126" s="4" t="str">
        <x:v>已核对论文原生定义/模板；代表题沿用用户表，未逐条核对原始视频</x:v>
      </x:c>
      <x:c r="L126" s="4" t="str">
        <x:v>论文定义级核对；代表题按工作簿题干分析；未逐题观看视频</x:v>
      </x:c>
      <x:c r="M126" s="4" t="str">
        <x:v>https://arxiv.org/pdf/2412.14171</x:v>
      </x:c>
      <x:c r="N126" s="4" t="str">
        <x:v>§3；Appendix Table 4 任务模板</x:v>
      </x:c>
      <x:c r="O126" s="4" t="str">
        <x:v>https://huggingface.co/datasets/nyu-visionx/VSI-Bench</x:v>
      </x:c>
    </x:row>
    <x:row r="127" ht="80" customHeight="1">
      <x:c r="A127" s="4" t="str">
        <x:v>src.vsi_bench.room_size</x:v>
      </x:c>
      <x:c r="B127" s="4" t="str">
        <x:v>VSI-Bench</x:v>
      </x:c>
      <x:c r="C127" s="4" t="str">
        <x:v>Room Size</x:v>
      </x:c>
      <x:c r="D127" s="4" t="str">
        <x:v>P18</x:v>
      </x:c>
      <x:c r="E127" s="14" t="str">
        <x:v>R9</x:v>
      </x:c>
      <x:c r="F127" s="14" t="str">
        <x:v>R9</x:v>
      </x:c>
      <x:c r="G127" s="4" t="str">
        <x:v>R9</x:v>
      </x:c>
      <x:c r="H127" s="4" t="str">
        <x:v>房间/合并空间面积需要尺度与边界估计，遮挡和单目尺度不确定性是实际限制；禁止把标注用网格作为模型输入。</x:v>
      </x:c>
      <x:c r="I127" s="4" t="str">
        <x:v>空间范围；尺度；面积</x:v>
      </x:c>
      <x:c r="J127" s="4" t="str">
        <x:v>What is the size of this room (in square meters)? 
If multiple rooms are shown, estimate the size of the combined space.</x:v>
      </x:c>
      <x:c r="K127" s="4" t="str">
        <x:v>已核对论文原生定义/模板；代表题沿用用户表，未逐条核对原始视频</x:v>
      </x:c>
      <x:c r="L127" s="4" t="str">
        <x:v>论文定义级核对；代表题按工作簿题干分析；未逐题观看视频</x:v>
      </x:c>
      <x:c r="M127" s="4" t="str">
        <x:v>https://arxiv.org/pdf/2412.14171</x:v>
      </x:c>
      <x:c r="N127" s="4" t="str">
        <x:v>§3；Appendix Table 4 任务模板</x:v>
      </x:c>
      <x:c r="O127" s="4" t="str">
        <x:v>https://huggingface.co/datasets/nyu-visionx/VSI-Bench</x:v>
      </x:c>
    </x:row>
    <x:row r="128" ht="164" customHeight="1">
      <x:c r="A128" s="4" t="str">
        <x:v>src.vsi_bench.route_plan</x:v>
      </x:c>
      <x:c r="B128" s="4" t="str">
        <x:v>VSI-Bench</x:v>
      </x:c>
      <x:c r="C128" s="4" t="str">
        <x:v>Route Plan</x:v>
      </x:c>
      <x:c r="D128" s="4" t="str">
        <x:v>P19</x:v>
      </x:c>
      <x:c r="E128" s="14" t="str">
        <x:v>R9</x:v>
      </x:c>
      <x:c r="F128" s="14" t="str">
        <x:v>R9</x:v>
      </x:c>
      <x:c r="G128" s="4" t="str">
        <x:v>R9</x:v>
      </x:c>
      <x:c r="H128" s="4" t="str">
        <x:v>在给定短路线动作序列中补转向，重点是拓扑邻接与朝向状态；不能把所有此类题都说成求全局最短路径。</x:v>
      </x:c>
      <x:c r="I128" s="4" t="str">
        <x:v>拓扑；朝向；给定路线约束</x:v>
      </x:c>
      <x:c r="J128" s="4" t="str">
        <x:v>You are a robot beginning at the bed facing the tv. You want to navigate to the toilet. You will perform the following actions (Note: for each [please fill in], choose either 'turn back,' 'turn left,' or 'turn right.'): 1. Go forward until the TV 2. [please fill in] 3. Go forward until the shower 4. [please fill in] 5. Go forward until the toilet. You have reached the final destination.</x:v>
      </x:c>
      <x:c r="K128" s="4" t="str">
        <x:v>已核对论文原生定义/模板；代表题沿用用户表，未逐条核对原始视频</x:v>
      </x:c>
      <x:c r="L128" s="4" t="str">
        <x:v>论文定义级核对；代表题按工作簿题干分析；未逐题观看视频</x:v>
      </x:c>
      <x:c r="M128" s="4" t="str">
        <x:v>https://arxiv.org/pdf/2412.14171</x:v>
      </x:c>
      <x:c r="N128" s="4" t="str">
        <x:v>§3；Appendix Table 4 任务模板</x:v>
      </x:c>
      <x:c r="O128" s="4" t="str">
        <x:v>https://huggingface.co/datasets/nyu-visionx/VSI-Bench</x:v>
      </x:c>
    </x:row>
  </x:sheetData>
  <x:dataValidations count="1">
    <x:dataValidation type="list" sqref="E2:F128">
      <x:formula1>"R1,R2,R3,R4,R5,R6,R7,R8,R9"</x:formula1>
    </x:dataValidation>
  </x:dataValidations>
  <x:pageMargins left="0.7" right="0.7" top="0.75" bottom="0.75" header="0.3" footer="0.3"/>
  <x:tableParts count="1">
    <x:tablePart xmlns:r="http://schemas.openxmlformats.org/officeDocument/2006/relationships" r:id="R927d3ad9a9d14307"/>
  </x:tableParts>
</x:worksheet>
</file>

<file path=xl/worksheets/sheet4.xml><?xml version="1.0" encoding="utf-8"?>
<x:worksheet xmlns:x="http://schemas.openxmlformats.org/spreadsheetml/2006/main">
  <x:sheetFormatPr defaultRowHeight="15"/>
  <x:cols>
    <x:col min="1" max="1" width="8" hidden="0" customWidth="1"/>
    <x:col min="2" max="2" width="30" hidden="0" customWidth="1"/>
    <x:col min="3" max="3" width="30" hidden="0" customWidth="1"/>
    <x:col min="4" max="4" width="36" hidden="0" customWidth="1"/>
    <x:col min="5" max="5" width="28" hidden="0" customWidth="1"/>
    <x:col min="6" max="6" width="40" hidden="0" customWidth="1"/>
    <x:col min="7" max="7" width="40" hidden="0" customWidth="1"/>
  </x:cols>
  <x:sheetData>
    <x:row r="1" ht="42" customHeight="1">
      <x:c r="A1" s="10" t="str">
        <x:v>旧P</x:v>
      </x:c>
      <x:c r="B1" s="10" t="str">
        <x:v>旧策略</x:v>
      </x:c>
      <x:c r="C1" s="10" t="str">
        <x:v>旧核心状态</x:v>
      </x:c>
      <x:c r="D1" s="10" t="str">
        <x:v>新去向</x:v>
      </x:c>
      <x:c r="E1" s="10" t="str">
        <x:v>调整层级</x:v>
      </x:c>
      <x:c r="F1" s="10" t="str">
        <x:v>理由/边界</x:v>
      </x:c>
      <x:c r="G1" s="10" t="str">
        <x:v>旧控制流（保留）</x:v>
      </x:c>
    </x:row>
    <x:row r="2" ht="52" customHeight="1">
      <x:c r="A2" s="4" t="str">
        <x:v>P01</x:v>
      </x:c>
      <x:c r="B2" s="4" t="str">
        <x:v>局部直接取证</x:v>
      </x:c>
      <x:c r="C2" s="4" t="str">
        <x:v>bounded_evidence</x:v>
      </x:c>
      <x:c r="D2" s="4" t="str">
        <x:v>R1；部分子型R2/R3/R4</x:v>
      </x:c>
      <x:c r="E2" s="4" t="str">
        <x:v>保留并收紧</x:v>
      </x:c>
      <x:c r="F2" s="4" t="str">
        <x:v>局部证据并不意味着单帧；否定清单、动态细分、时序归约不应全部吸收到此类。</x:v>
      </x:c>
      <x:c r="G2" s="4" t="str">
        <x:v>resolve_or_accept_span → decode_modality → extract_visible_fact_or_description → dispatch_output_head</x:v>
      </x:c>
    </x:row>
    <x:row r="3" ht="66" customHeight="1">
      <x:c r="A3" s="4" t="str">
        <x:v>P02</x:v>
      </x:c>
      <x:c r="B3" s="4" t="str">
        <x:v>实体轨迹与转移账本</x:v>
      </x:c>
      <x:c r="C3" s="4" t="str">
        <x:v>entity_tracks</x:v>
      </x:c>
      <x:c r="D3" s="4" t="str">
        <x:v>R2；对象计数子型R4</x:v>
      </x:c>
      <x:c r="E3" s="4" t="str">
        <x:v>并入动态状态；区分主算子</x:v>
      </x:c>
      <x:c r="F3" s="4" t="str">
        <x:v>追踪是R2主状态，也能作为R4去重/运动过滤子程序。</x:v>
      </x:c>
      <x:c r="G3" s="4" t="str">
        <x:v>initialize_entities → track_or_reidentify → update_trajectory_or_boundaries → query_or_aggregate → dispatch_output_head</x:v>
      </x:c>
    </x:row>
    <x:row r="4" ht="52" customHeight="1">
      <x:c r="A4" s="4" t="str">
        <x:v>P03</x:v>
      </x:c>
      <x:c r="B4" s="4" t="str">
        <x:v>周期、频率与相位模型</x:v>
      </x:c>
      <x:c r="C4" s="4" t="str">
        <x:v>cycle_model</x:v>
      </x:c>
      <x:c r="D4" s="4" t="str">
        <x:v>R2</x:v>
      </x:c>
      <x:c r="E4" s="4" t="str">
        <x:v>操作头</x:v>
      </x:c>
      <x:c r="F4" s="4" t="str">
        <x:v>周期、频率、相位都在实体/运动轨迹上计算，按信号与采样配置区分，不独立复制主流程。</x:v>
      </x:c>
      <x:c r="G4" s="4" t="str">
        <x:v>track_signal_or_events → detect_cycles → estimate_phase_or_frequency → infer_pattern → dispatch_output_head</x:v>
      </x:c>
    </x:row>
    <x:row r="5" ht="52" customHeight="1">
      <x:c r="A5" s="4" t="str">
        <x:v>P04</x:v>
      </x:c>
      <x:c r="B5" s="4" t="str">
        <x:v>自我中心方向积分</x:v>
      </x:c>
      <x:c r="C5" s="4" t="str">
        <x:v>pose_trajectory</x:v>
      </x:c>
      <x:c r="D5" s="4" t="str">
        <x:v>R9</x:v>
      </x:c>
      <x:c r="E5" s="4" t="str">
        <x:v>空间查询子模式</x:v>
      </x:c>
      <x:c r="F5" s="4" t="str">
        <x:v>参考系变换和必要的方向积分共享空间状态；并非每题都需要相机方向积分。</x:v>
      </x:c>
      <x:c r="G5" s="4" t="str">
        <x:v>initialize_orientation → integrate_turns_or_motion → transform_reference_frame → dispatch_output_head</x:v>
      </x:c>
    </x:row>
    <x:row r="6" ht="66" customHeight="1">
      <x:c r="A6" s="4" t="str">
        <x:v>P05</x:v>
      </x:c>
      <x:c r="B6" s="4" t="str">
        <x:v>自适应事件次数计数</x:v>
      </x:c>
      <x:c r="C6" s="4" t="str">
        <x:v>occurrence_ledger</x:v>
      </x:c>
      <x:c r="D6" s="4" t="str">
        <x:v>R3</x:v>
      </x:c>
      <x:c r="E6" s="4" t="str">
        <x:v>事件账本计数头</x:v>
      </x:c>
      <x:c r="F6" s="4" t="str">
        <x:v>与顺序、时长共享事件区间状态，保留occurrence边界和全覆盖计数的强约束。</x:v>
      </x:c>
      <x:c r="G6" s="4" t="str">
        <x:v>define_occurrence → select_scan_plan_from_budget → scan_dense_or_hierarchical → reconcile_boundaries → count → dispatch_output_head</x:v>
      </x:c>
    </x:row>
    <x:row r="7" ht="52" customHeight="1">
      <x:c r="A7" s="4" t="str">
        <x:v>P06</x:v>
      </x:c>
      <x:c r="B7" s="4" t="str">
        <x:v>锚点窗口操作</x:v>
      </x:c>
      <x:c r="C7" s="4" t="str">
        <x:v>anchor_window_or_state_pair</x:v>
      </x:c>
      <x:c r="D7" s="4" t="str">
        <x:v>R1 / R2 / R3</x:v>
      </x:c>
      <x:c r="E7" s="4" t="str">
        <x:v>拆回实际任务</x:v>
      </x:c>
      <x:c r="F7" s="4" t="str">
        <x:v>锚点是索引方法：锚点取事实R1、属性比较R2、前后顺序R3。</x:v>
      </x:c>
      <x:c r="G7" s="4" t="str">
        <x:v>resolve_anchor → select_before_current_after_windows → retrieve_or_compare → dispatch_output_head</x:v>
      </x:c>
    </x:row>
    <x:row r="8" ht="66" customHeight="1">
      <x:c r="A8" s="4" t="str">
        <x:v>P07</x:v>
      </x:c>
      <x:c r="B8" s="4" t="str">
        <x:v>事件时间索引</x:v>
      </x:c>
      <x:c r="C8" s="4" t="str">
        <x:v>event_interval_index</x:v>
      </x:c>
      <x:c r="D8" s="4" t="str">
        <x:v>R3</x:v>
      </x:c>
      <x:c r="E8" s="4" t="str">
        <x:v>合并状态与控制流</x:v>
      </x:c>
      <x:c r="F8" s="4" t="str">
        <x:v>统一事件账本上的时间查询；有界关系题与全范围计数采用不同覆盖/停止条件。</x:v>
      </x:c>
      <x:c r="G8" s="4" t="str">
        <x:v>detect_or_query_events → timestamp_start_end → build_temporal_index → apply_temporal_operation → dispatch_output_head</x:v>
      </x:c>
    </x:row>
    <x:row r="9" ht="66" customHeight="1">
      <x:c r="A9" s="4" t="str">
        <x:v>P08</x:v>
      </x:c>
      <x:c r="B9" s="4" t="str">
        <x:v>规范化全局清单</x:v>
      </x:c>
      <x:c r="C9" s="4" t="str">
        <x:v>canonicalized_inventory</x:v>
      </x:c>
      <x:c r="D9" s="4" t="str">
        <x:v>R4</x:v>
      </x:c>
      <x:c r="E9" s="4" t="str">
        <x:v>集合归约</x:v>
      </x:c>
      <x:c r="F9" s="4" t="str">
        <x:v>规范化清单与实例集合共用去重机制；全局是范围配置，不是一定全片扫描。</x:v>
      </x:c>
      <x:c r="G9" s="4" t="str">
        <x:v>scan_global_coverage → extract_by_modality → normalize_and_deduplicate → build_inventory → apply_set_query → dispatch_output_head</x:v>
      </x:c>
    </x:row>
    <x:row r="10" ht="66" customHeight="1">
      <x:c r="A10" s="4" t="str">
        <x:v>P09</x:v>
      </x:c>
      <x:c r="B10" s="4" t="str">
        <x:v>长视频分层稀疏检索</x:v>
      </x:c>
      <x:c r="C10" s="4" t="str">
        <x:v>search_frontier</x:v>
      </x:c>
      <x:c r="D10" s="4" t="str">
        <x:v>R1；可供全部R类调用</x:v>
      </x:c>
      <x:c r="E10" s="4" t="str">
        <x:v>共享检索器</x:v>
      </x:c>
      <x:c r="F10" s="4" t="str">
        <x:v>长视频长度/检索层级改变预算与搜索计划，不决定问题最终执行状态。</x:v>
      </x:c>
      <x:c r="G10" s="4" t="str">
        <x:v>partition_video → coarse_segment_search → rank_candidates → inspect_local_window → retrieve_fact → dispatch_output_head</x:v>
      </x:c>
    </x:row>
    <x:row r="11" ht="52" customHeight="1">
      <x:c r="A11" s="4" t="str">
        <x:v>P10</x:v>
      </x:c>
      <x:c r="B11" s="4" t="str">
        <x:v>全覆盖分段综合</x:v>
      </x:c>
      <x:c r="C11" s="4" t="str">
        <x:v>scene_summaries</x:v>
      </x:c>
      <x:c r="D11" s="4" t="str">
        <x:v>R5</x:v>
      </x:c>
      <x:c r="E11" s="4" t="str">
        <x:v>保留主模板</x:v>
      </x:c>
      <x:c r="F11" s="4" t="str">
        <x:v>分段覆盖综合与needle检索的停止规则根本不同。</x:v>
      </x:c>
      <x:c r="G11" s="4" t="str">
        <x:v>segment_scenes → summarize_each_segment → aggregate_global_representation → dispatch_selection_or_text_head</x:v>
      </x:c>
    </x:row>
    <x:row r="12" ht="66" customHeight="1">
      <x:c r="A12" s="4" t="str">
        <x:v>P11</x:v>
      </x:c>
      <x:c r="B12" s="4" t="str">
        <x:v>证据图多跳推理</x:v>
      </x:c>
      <x:c r="C12" s="4" t="str">
        <x:v>typed_evidence_graph</x:v>
      </x:c>
      <x:c r="D12" s="4" t="str">
        <x:v>R6</x:v>
      </x:c>
      <x:c r="E12" s="4" t="str">
        <x:v>保留并轻量化</x:v>
      </x:c>
      <x:c r="F12" s="4" t="str">
        <x:v>必要时用关系图，多数题先用带证据的事实/关系表，不强制图规模。</x:v>
      </x:c>
      <x:c r="G12" s="4" t="str">
        <x:v>retrieve_relevant_evidence → instantiate_graph_schema → connect_or_update_relations → multihop_infer → dispatch_output_head</x:v>
      </x:c>
    </x:row>
    <x:row r="13" ht="66" customHeight="1">
      <x:c r="A13" s="4" t="str">
        <x:v>P12</x:v>
      </x:c>
      <x:c r="B13" s="4" t="str">
        <x:v>世界状态前向模拟</x:v>
      </x:c>
      <x:c r="C13" s="4" t="str">
        <x:v>dynamic_or_intervenable_world_state</x:v>
      </x:c>
      <x:c r="D13" s="4" t="str">
        <x:v>R7</x:v>
      </x:c>
      <x:c r="E13" s="4" t="str">
        <x:v>保留假设状态</x:v>
      </x:c>
      <x:c r="F13" s="4" t="str">
        <x:v>与已发生事实的解释分开；允许轻量反事实变量修改而非一律重型仿真。</x:v>
      </x:c>
      <x:c r="G13" s="4" t="str">
        <x:v>construct_current_state → optionally_apply_intervention → rollout_dynamics → predict_consequence → dispatch_output_head</x:v>
      </x:c>
    </x:row>
    <x:row r="14" ht="52" customHeight="1">
      <x:c r="A14" s="4" t="str">
        <x:v>P13</x:v>
      </x:c>
      <x:c r="B14" s="4" t="str">
        <x:v>对齐多流融合</x:v>
      </x:c>
      <x:c r="C14" s="4" t="str">
        <x:v>aligned_multistream_timeline</x:v>
      </x:c>
      <x:c r="D14" s="4" t="str">
        <x:v>共享音画对齐；主类按问题为R1–R9</x:v>
      </x:c>
      <x:c r="E14" s="4" t="str">
        <x:v>降为共享组件</x:v>
      </x:c>
      <x:c r="F14" s="4" t="str">
        <x:v>模态融合是证据接入/对齐方式；局部事实与语义冲突推理不该仅因同时含音画而共用一条顶层策略。</x:v>
      </x:c>
      <x:c r="G14" s="4" t="str">
        <x:v>align_streams → retrieve_crossmodal_cues → compare_or_fuse_semantics → dispatch_output_head</x:v>
      </x:c>
    </x:row>
    <x:row r="15" ht="66" customHeight="1">
      <x:c r="A15" s="4" t="str">
        <x:v>P14</x:v>
      </x:c>
      <x:c r="B15" s="4" t="str">
        <x:v>观察—期望一致性验证</x:v>
      </x:c>
      <x:c r="C15" s="4" t="str">
        <x:v>expected_spec_plus_observed_trace</x:v>
      </x:c>
      <x:c r="D15" s="4" t="str">
        <x:v>R6；直接可见异常R1；定位R3</x:v>
      </x:c>
      <x:c r="E15" s="4" t="str">
        <x:v>拆分过宽入口</x:v>
      </x:c>
      <x:c r="F15" s="4" t="str">
        <x:v>保留观察—预期一致性算子；任务名Unexpected/Anomaly不能代替实际提问形式。</x:v>
      </x:c>
      <x:c r="G15" s="4" t="str">
        <x:v>obtain_or_generate_expected_model → extract_observed_event_or_steps → align_observed_to_expected → detect_violation → dispatch_output_head</x:v>
      </x:c>
    </x:row>
    <x:row r="16" ht="66" customHeight="1">
      <x:c r="A16" s="4" t="str">
        <x:v>P15</x:v>
      </x:c>
      <x:c r="B16" s="4" t="str">
        <x:v>知识与符号推导工作区</x:v>
      </x:c>
      <x:c r="C16" s="4" t="str">
        <x:v>symbolic_workspace</x:v>
      </x:c>
      <x:c r="D16" s="4" t="str">
        <x:v>R8；明示事实R1；知识关系R6</x:v>
      </x:c>
      <x:c r="E16" s="4" t="str">
        <x:v>拆分知识与符号</x:v>
      </x:c>
      <x:c r="F16" s="4" t="str">
        <x:v>专业背景不是必须符号求解；可复算数学与非数学推断分开。</x:v>
      </x:c>
      <x:c r="G16" s="4" t="str">
        <x:v>retrieve_facts_and_formulas → translate_symbols_or_domain_rules → invoke_rules_or_tools → derive_result → dispatch_output_head</x:v>
      </x:c>
    </x:row>
    <x:row r="17" ht="52" customHeight="1">
      <x:c r="A17" s="4" t="str">
        <x:v>P16</x:v>
      </x:c>
      <x:c r="B17" s="4" t="str">
        <x:v>静态实例计数</x:v>
      </x:c>
      <x:c r="C17" s="4" t="str">
        <x:v>identity_set</x:v>
      </x:c>
      <x:c r="D17" s="4" t="str">
        <x:v>R4</x:v>
      </x:c>
      <x:c r="E17" s="4" t="str">
        <x:v>实例清单的范围配置</x:v>
      </x:c>
      <x:c r="F17" s="4" t="str">
        <x:v>单帧与跨视角唯一计数共享身份集合，采样/重识别需求不同。</x:v>
      </x:c>
      <x:c r="G17" s="4" t="str">
        <x:v>detect_instances_in_complete_view → deduplicate_views → count_instances → dispatch_choice_or_numeric_head</x:v>
      </x:c>
    </x:row>
    <x:row r="18" ht="66" customHeight="1">
      <x:c r="A18" s="4" t="str">
        <x:v>P17</x:v>
      </x:c>
      <x:c r="B18" s="4" t="str">
        <x:v>定性空间关系</x:v>
      </x:c>
      <x:c r="C18" s="4" t="str">
        <x:v>local_reference_frame</x:v>
      </x:c>
      <x:c r="D18" s="4" t="str">
        <x:v>R9；直接可见关系R1</x:v>
      </x:c>
      <x:c r="E18" s="4" t="str">
        <x:v>空间查询子模式</x:v>
      </x:c>
      <x:c r="F18" s="4" t="str">
        <x:v>已在同一画面直读的左右无需重建；参考系变换/跨视角关系主R9。</x:v>
      </x:c>
      <x:c r="G18" s="4" t="str">
        <x:v>locate_reference_and_target → establish_local_reference_frame → compute_qualitative_relation → dispatch_output_head</x:v>
      </x:c>
    </x:row>
    <x:row r="19" ht="52" customHeight="1">
      <x:c r="A19" s="4" t="str">
        <x:v>P18</x:v>
      </x:c>
      <x:c r="B19" s="4" t="str">
        <x:v>度量场景测量</x:v>
      </x:c>
      <x:c r="C19" s="4" t="str">
        <x:v>metric_scene_model</x:v>
      </x:c>
      <x:c r="D19" s="4" t="str">
        <x:v>R9</x:v>
      </x:c>
      <x:c r="E19" s="4" t="str">
        <x:v>度量查询子模式</x:v>
      </x:c>
      <x:c r="F19" s="4" t="str">
        <x:v>保留尺度约束和单位检查，不另造与空间关系完全平行的执行器。</x:v>
      </x:c>
      <x:c r="G19" s="4" t="str">
        <x:v>identify_objects → reconstruct_or_scale_scene → estimate_metric_values → compare_or_emit_number</x:v>
      </x:c>
    </x:row>
    <x:row r="20" ht="52" customHeight="1">
      <x:c r="A20" s="4" t="str">
        <x:v>P19</x:v>
      </x:c>
      <x:c r="B20" s="4" t="str">
        <x:v>拓扑路线规划</x:v>
      </x:c>
      <x:c r="C20" s="4" t="str">
        <x:v>topological_map</x:v>
      </x:c>
      <x:c r="D20" s="4" t="str">
        <x:v>R9</x:v>
      </x:c>
      <x:c r="E20" s="4" t="str">
        <x:v>拓扑/路线查询子模式</x:v>
      </x:c>
      <x:c r="F20" s="4" t="str">
        <x:v>路线填空和最短路径不同，通过查询头和约束表示区分。</x:v>
      </x:c>
      <x:c r="G20" s="4" t="str">
        <x:v>build_spatial_map → localize_start_and_goal → plan_route → translate_route_to_actions → dispatch_output_head</x:v>
      </x:c>
    </x:row>
    <x:row r="21" ht="66" customHeight="1">
      <x:c r="A21" s="4" t="str">
        <x:v>P20</x:v>
      </x:c>
      <x:c r="B21" s="4" t="str">
        <x:v>情景记忆查询与归约</x:v>
      </x:c>
      <x:c r="C21" s="4" t="str">
        <x:v>episodic_index_plus_reducer_state</x:v>
      </x:c>
      <x:c r="D21" s="4" t="str">
        <x:v>历史访问封装；主类常为R1/R3/R4/R6/R8</x:v>
      </x:c>
      <x:c r="E21" s="4" t="str">
        <x:v>降为共享访问与截止约束</x:v>
      </x:c>
      <x:c r="F21" s="4" t="str">
        <x:v>历史事实、频次、购物差集、社会关系、单价计算不是同一种推理任务；保留查询时间与人物视角限制。</x:v>
      </x:c>
      <x:c r="G21" s="4" t="str">
        <x:v>apply_query_time_boundary → retrieve_relevant_history → normalize_entities_or_events → apply_reducer → dispatch_output_head</x:v>
      </x:c>
    </x:row>
  </x:sheetData>
  <x:pageMargins left="0.7" right="0.7" top="0.75" bottom="0.75" header="0.3" footer="0.3"/>
  <x:tableParts count="1">
    <x:tablePart xmlns:r="http://schemas.openxmlformats.org/officeDocument/2006/relationships" r:id="R8f030d7fc030439c"/>
  </x:tableParts>
</x:worksheet>
</file>

<file path=xl/worksheets/sheet5.xml><?xml version="1.0" encoding="utf-8"?>
<x:worksheet xmlns:x="http://schemas.openxmlformats.org/spreadsheetml/2006/main">
  <x:sheetFormatPr defaultRowHeight="15"/>
  <x:cols>
    <x:col min="1" max="1" width="20" hidden="0" customWidth="1"/>
    <x:col min="2" max="2" width="32" hidden="0" customWidth="1"/>
    <x:col min="3" max="3" width="40" hidden="0" customWidth="1"/>
    <x:col min="4" max="4" width="16" hidden="0" customWidth="1"/>
    <x:col min="5" max="5" width="12" hidden="0" customWidth="1"/>
    <x:col min="6" max="6" width="40" hidden="0" customWidth="1"/>
    <x:col min="7" max="7" width="38" hidden="0" customWidth="1"/>
    <x:col min="8" max="8" width="38" hidden="0" customWidth="1"/>
    <x:col min="9" max="9" width="38" hidden="0" customWidth="1"/>
  </x:cols>
  <x:sheetData>
    <x:row r="1" ht="42" customHeight="1">
      <x:c r="A1" s="10" t="str">
        <x:v>Benchmark</x:v>
      </x:c>
      <x:c r="B1" s="10" t="str">
        <x:v>原生类型</x:v>
      </x:c>
      <x:c r="C1" s="10" t="str">
        <x:v>原表代表题</x:v>
      </x:c>
      <x:c r="D1" s="10" t="str">
        <x:v>旧P候选</x:v>
      </x:c>
      <x:c r="E1" s="10" t="str">
        <x:v>代表题R</x:v>
      </x:c>
      <x:c r="F1" s="10" t="str">
        <x:v>修正理由/条件</x:v>
      </x:c>
      <x:c r="G1" s="10" t="str">
        <x:v>核对与不确定性</x:v>
      </x:c>
      <x:c r="H1" s="10" t="str">
        <x:v>论文URL</x:v>
      </x:c>
      <x:c r="I1" s="10" t="str">
        <x:v>数据/项目URL</x:v>
      </x:c>
    </x:row>
    <x:row r="2" ht="46" customHeight="1">
      <x:c r="A2" s="4" t="str">
        <x:v>LVBench</x:v>
      </x:c>
      <x:c r="B2" s="4" t="str">
        <x:v>Temporal Grounding</x:v>
      </x:c>
      <x:c r="C2" s="4" t="str">
        <x:v>What happens from 01:58-02:46?</x:v>
      </x:c>
      <x:c r="D2" s="4" t="str">
        <x:v>P01</x:v>
      </x:c>
      <x:c r="E2" s="4" t="str">
        <x:v>R1</x:v>
      </x:c>
      <x:c r="F2" s="4" t="str">
        <x:v>给定01:58–02:46问发生什么走R1；原定义还包含事件定位、持续时间及顺序，走R3。</x:v>
      </x:c>
      <x:c r="G2" s="4" t="str">
        <x:v>论文定义级核对；代表题按工作簿题干分析；未逐题观看视频</x:v>
      </x:c>
      <x:c r="H2" s="4" t="str">
        <x:v>https://arxiv.org/html/2406.08035v3</x:v>
      </x:c>
      <x:c r="I2" s="4" t="str">
        <x:v>https://github.com/zai-org/LVBench</x:v>
      </x:c>
    </x:row>
    <x:row r="3" ht="52" customHeight="1">
      <x:c r="A3" s="4" t="str">
        <x:v>Video-MME</x:v>
      </x:c>
      <x:c r="B3" s="4" t="str">
        <x:v>Object Recognition</x:v>
      </x:c>
      <x:c r="C3" s="4" t="str">
        <x:v>Which of the following features/items is not discussed in the video in relation to the tomb?</x:v>
      </x:c>
      <x:c r="D3" s="4" t="str">
        <x:v>P01 | P08 | P09 | P13</x:v>
      </x:c>
      <x:c r="E3" s="4" t="str">
        <x:v>R4</x:v>
      </x:c>
      <x:c r="F3" s="4" t="str">
        <x:v>代表题问墓葬哪些特征/物品未被讨论，是限定话题的排除清单，不是找到一个物体即可停止。普通目标识别仍R1。</x:v>
      </x:c>
      <x:c r="G3" s="4" t="str">
        <x:v>论文定义级核对；代表题按工作簿题干分析；未逐题观看视频</x:v>
      </x:c>
      <x:c r="H3" s="4" t="str">
        <x:v>https://arxiv.org/html/2405.21075v3</x:v>
      </x:c>
      <x:c r="I3" s="4" t="str">
        <x:v>https://huggingface.co/datasets/lmms-eval/Video-MME</x:v>
      </x:c>
    </x:row>
    <x:row r="4" ht="52" customHeight="1">
      <x:c r="A4" s="4" t="str">
        <x:v>Video-MME</x:v>
      </x:c>
      <x:c r="B4" s="4" t="str">
        <x:v>OCR Problems</x:v>
      </x:c>
      <x:c r="C4" s="4" t="str">
        <x:v>What is the specific sentence in the smart phone that makes the man embarrassed?</x:v>
      </x:c>
      <x:c r="D4" s="4" t="str">
        <x:v>P01 | P08</x:v>
      </x:c>
      <x:c r="E4" s="4" t="str">
        <x:v>R1</x:v>
      </x:c>
      <x:c r="F4" s="4" t="str">
        <x:v>手机上的特定句子可定位后高分辨率读取；若收集全片所有文字、不同店名或未出现项，需要R4清单。</x:v>
      </x:c>
      <x:c r="G4" s="4" t="str">
        <x:v>论文定义级核对；代表题按工作簿题干分析；未逐题观看视频</x:v>
      </x:c>
      <x:c r="H4" s="4" t="str">
        <x:v>https://arxiv.org/html/2405.21075v3</x:v>
      </x:c>
      <x:c r="I4" s="4" t="str">
        <x:v>https://huggingface.co/datasets/lmms-eval/Video-MME</x:v>
      </x:c>
    </x:row>
    <x:row r="5" ht="80" customHeight="1">
      <x:c r="A5" s="4" t="str">
        <x:v>Video-MME-v2</x:v>
      </x:c>
      <x:c r="B5" s="4" t="str">
        <x:v>Basic Counting</x:v>
      </x:c>
      <x:c r="C5" s="4" t="str">
        <x:v>Within the first 15 seconds of the Green Level challenge, how many times in total did the man water the flowers?</x:v>
      </x:c>
      <x:c r="D5" s="4" t="str">
        <x:v>P05</x:v>
      </x:c>
      <x:c r="E5" s="4" t="str">
        <x:v>R3</x:v>
      </x:c>
      <x:c r="F5" s="4" t="str">
        <x:v>论文Table 4将Basic Counting描述为静态、顺序无关计数，但官方002-1浇花次数与004-1货运车厢数量同标此类。前者R3事件次数，后者R4实例数；保留官方标签，增设执行子型。</x:v>
      </x:c>
      <x:c r="G5" s="4" t="str">
        <x:v>论文定义级核对；代表题按工作簿题干分析；未逐题观看视频</x:v>
      </x:c>
      <x:c r="H5" s="4" t="str">
        <x:v>https://arxiv.org/pdf/2604.05015</x:v>
      </x:c>
      <x:c r="I5" s="4" t="str">
        <x:v>https://huggingface.co/datasets/MME-Benchmarks/Video-MME-v2</x:v>
      </x:c>
    </x:row>
    <x:row r="6" ht="46" customHeight="1">
      <x:c r="A6" s="4" t="str">
        <x:v>MVBench</x:v>
      </x:c>
      <x:c r="B6" s="4" t="str">
        <x:v>Moving Count</x:v>
      </x:c>
      <x:c r="C6" s="4" t="str">
        <x:v>How many metal objects exit the scene?</x:v>
      </x:c>
      <x:c r="D6" s="4" t="str">
        <x:v>P02</x:v>
      </x:c>
      <x:c r="E6" s="4" t="str">
        <x:v>R4</x:v>
      </x:c>
      <x:c r="F6" s="4" t="str">
        <x:v>问多少个金属物体离开，是满足运动条件的不同实体数，不是累计exit事件次数。</x:v>
      </x:c>
      <x:c r="G6" s="4" t="str">
        <x:v>论文定义级核对；代表题按工作簿题干分析；未逐题观看视频</x:v>
      </x:c>
      <x:c r="H6" s="4" t="str">
        <x:v>https://arxiv.org/pdf/2311.17005</x:v>
      </x:c>
      <x:c r="I6" s="4" t="str">
        <x:v>https://huggingface.co/datasets/OpenGVLab/MVBench</x:v>
      </x:c>
    </x:row>
    <x:row r="7" ht="52" customHeight="1">
      <x:c r="A7" s="4" t="str">
        <x:v>Video-MME-v2</x:v>
      </x:c>
      <x:c r="B7" s="4" t="str">
        <x:v>Entity Existence Change Detection</x:v>
      </x:c>
      <x:c r="C7" s="4" t="str">
        <x:v>In the fifth scene, how many birds flew out of view?</x:v>
      </x:c>
      <x:c r="D7" s="4" t="str">
        <x:v>P02 | P06</x:v>
      </x:c>
      <x:c r="E7" s="4" t="str">
        <x:v>R4</x:v>
      </x:c>
      <x:c r="F7" s="4" t="str">
        <x:v>代表题问多少只鸟飞出视野，计数单位为鸟的实例，R4并调用追踪；问同一鸟飞出几次则R3；仅问实体进出变化则R2。</x:v>
      </x:c>
      <x:c r="G7" s="4" t="str">
        <x:v>论文定义级核对；代表题按工作簿题干分析；未逐题观看视频</x:v>
      </x:c>
      <x:c r="H7" s="4" t="str">
        <x:v>https://arxiv.org/pdf/2604.05015</x:v>
      </x:c>
      <x:c r="I7" s="4" t="str">
        <x:v>https://huggingface.co/datasets/MME-Benchmarks/Video-MME-v2</x:v>
      </x:c>
    </x:row>
    <x:row r="8" ht="52" customHeight="1">
      <x:c r="A8" s="4" t="str">
        <x:v>TVBench</x:v>
      </x:c>
      <x:c r="B8" s="4" t="str">
        <x:v>Unexpected Action</x:v>
      </x:c>
      <x:c r="C8" s="4" t="str">
        <x:v>Locate the creative/amusing/mesmerizing part of the video.</x:v>
      </x:c>
      <x:c r="D8" s="4" t="str">
        <x:v>P14</x:v>
      </x:c>
      <x:c r="E8" s="4" t="str">
        <x:v>R3</x:v>
      </x:c>
      <x:c r="F8" s="4" t="str">
        <x:v>官方模板要求Locate creative/amusing/mesmerizing part，终点是时间位置，不是异常原因解释。</x:v>
      </x:c>
      <x:c r="G8" s="4" t="str">
        <x:v>原论文模板核对；执行归类为设计建议</x:v>
      </x:c>
      <x:c r="H8" s="4" t="str">
        <x:v>https://arxiv.org/html/2410.07752v2</x:v>
      </x:c>
      <x:c r="I8" s="4" t="str">
        <x:v>https://huggingface.co/datasets/FunAILab/TVBench</x:v>
      </x:c>
    </x:row>
    <x:row r="9" ht="66" customHeight="1">
      <x:c r="A9" s="4" t="str">
        <x:v>TVBench</x:v>
      </x:c>
      <x:c r="B9" s="4" t="str">
        <x:v>Action Count</x:v>
      </x:c>
      <x:c r="C9" s="4" t="str">
        <x:v>The person makes sets of repeated actions. How many distinct repeated actions did the person do?</x:v>
      </x:c>
      <x:c r="D9" s="4" t="str">
        <x:v>P08</x:v>
      </x:c>
      <x:c r="E9" s="4" t="str">
        <x:v>R4</x:v>
      </x:c>
      <x:c r="F9" s="4" t="str">
        <x:v>模板强调sets/distinct repeated actions。暂保留动作种类/组的去重清单解释；必须复核原视频/标注计数单位，不能自动当作MVBench动作次数。</x:v>
      </x:c>
      <x:c r="G9" s="4" t="str">
        <x:v>待视频/标注计数单位复核；不宣称原P08错误</x:v>
      </x:c>
      <x:c r="H9" s="4" t="str">
        <x:v>https://arxiv.org/html/2410.07752v2</x:v>
      </x:c>
      <x:c r="I9" s="4" t="str">
        <x:v>https://huggingface.co/datasets/FunAILab/TVBench</x:v>
      </x:c>
    </x:row>
    <x:row r="10" ht="52" customHeight="1">
      <x:c r="A10" s="4" t="str">
        <x:v>LongVideoBench</x:v>
      </x:c>
      <x:c r="B10" s="4" t="str">
        <x:v>Text-referred Object Tracking</x:v>
      </x:c>
      <x:c r="C10" s="4" t="str">
        <x:v>A man in a white shirt raises one hand while seated on a black chair. This man appears with which subtitle?</x:v>
      </x:c>
      <x:c r="D10" s="4" t="str">
        <x:v>P13</x:v>
      </x:c>
      <x:c r="E10" s="4" t="str">
        <x:v>R1</x:v>
      </x:c>
      <x:c r="F10" s="4" t="str">
        <x:v>示例由举手人物找到同期字幕；任务名字有Tracking，但不必维护连续轨迹。</x:v>
      </x:c>
      <x:c r="G10" s="4" t="str">
        <x:v>论文定义级核对；代表题按工作簿题干分析；未逐题观看视频</x:v>
      </x:c>
      <x:c r="H10" s="4" t="str">
        <x:v>https://arxiv.org/pdf/2407.15754</x:v>
      </x:c>
      <x:c r="I10" s="4" t="str">
        <x:v>https://huggingface.co/datasets/longvideobench/LongVideoBench</x:v>
      </x:c>
    </x:row>
    <x:row r="11" ht="46" customHeight="1">
      <x:c r="A11" s="4" t="str">
        <x:v>TOMATO</x:v>
      </x:c>
      <x:c r="B11" s="4" t="str">
        <x:v>Visual Cues</x:v>
      </x:c>
      <x:c r="C11" s="4" t="str">
        <x:v>Which musical instrument sounds last?</x:v>
      </x:c>
      <x:c r="D11" s="4" t="str">
        <x:v>P07</x:v>
      </x:c>
      <x:c r="E11" s="4" t="str">
        <x:v>R3</x:v>
      </x:c>
      <x:c r="F11" s="4" t="str">
        <x:v>§4.1明确无音频，凭可见演奏动作判断先后/时机；sounds不授权音频。</x:v>
      </x:c>
      <x:c r="G11" s="4" t="str">
        <x:v>论文定义级核对；代表题按工作簿题干分析；未逐题观看视频</x:v>
      </x:c>
      <x:c r="H11" s="4" t="str">
        <x:v>https://arxiv.org/html/2410.23266v2</x:v>
      </x:c>
      <x:c r="I11" s="4" t="str">
        <x:v>https://github.com/yale-nlp/TOMATO</x:v>
      </x:c>
    </x:row>
    <x:row r="12" ht="122" customHeight="1">
      <x:c r="A12" s="4" t="str">
        <x:v>VSI-Bench</x:v>
      </x:c>
      <x:c r="B12" s="4" t="str">
        <x:v>Relative Direction</x:v>
      </x:c>
      <x:c r="C12" s="4" t="str">
        <x:v>If I am standing by the stove and facing the sofa, is the tv to my front-left, front-right, back-left, or back-right?
The directions refer to the quadrants of a Cartesian plane (if I am standing at the origin and facing along the positive y-axis).</x:v>
      </x:c>
      <x:c r="D12" s="4" t="str">
        <x:v>P04</x:v>
      </x:c>
      <x:c r="E12" s="4" t="str">
        <x:v>R9</x:v>
      </x:c>
      <x:c r="F12" s="4" t="str">
        <x:v>站炉灶面向沙发判断电视方位，是物体定义的参考系变换，不要求沿相机轨迹积分；按题目排除边界方向等定义作答。</x:v>
      </x:c>
      <x:c r="G12" s="4" t="str">
        <x:v>论文定义级核对；代表题按工作簿题干分析；未逐题观看视频</x:v>
      </x:c>
      <x:c r="H12" s="4" t="str">
        <x:v>https://arxiv.org/pdf/2412.14171</x:v>
      </x:c>
      <x:c r="I12" s="4" t="str">
        <x:v>https://huggingface.co/datasets/nyu-visionx/VSI-Bench</x:v>
      </x:c>
    </x:row>
    <x:row r="13" ht="52" customHeight="1">
      <x:c r="A13" s="4" t="str">
        <x:v>VSI-Bench</x:v>
      </x:c>
      <x:c r="B13" s="4" t="str">
        <x:v>Object Count</x:v>
      </x:c>
      <x:c r="C13" s="4" t="str">
        <x:v>How many table(s) are in this room?</x:v>
      </x:c>
      <x:c r="D13" s="4" t="str">
        <x:v>P16</x:v>
      </x:c>
      <x:c r="E13" s="4" t="str">
        <x:v>R4</x:v>
      </x:c>
      <x:c r="F13" s="4" t="str">
        <x:v>房间内桌子总数需多视角实例清单及重识别，不是每帧各数一遍再相加，也不必用完整3D重建。</x:v>
      </x:c>
      <x:c r="G13" s="4" t="str">
        <x:v>论文定义级核对；代表题按工作簿题干分析；未逐题观看视频</x:v>
      </x:c>
      <x:c r="H13" s="4" t="str">
        <x:v>https://arxiv.org/pdf/2412.14171</x:v>
      </x:c>
      <x:c r="I13" s="4" t="str">
        <x:v>https://huggingface.co/datasets/nyu-visionx/VSI-Bench</x:v>
      </x:c>
    </x:row>
    <x:row r="14" ht="46" customHeight="1">
      <x:c r="A14" s="4" t="str">
        <x:v>MLVU</x:v>
      </x:c>
      <x:c r="B14" s="4" t="str">
        <x:v>Plot QA</x:v>
      </x:c>
      <x:c r="C14" s="4" t="str">
        <x:v>What does the cartoon mouse use to hit the cartoon cat?</x:v>
      </x:c>
      <x:c r="D14" s="4" t="str">
        <x:v>P11</x:v>
      </x:c>
      <x:c r="E14" s="4" t="str">
        <x:v>R1</x:v>
      </x:c>
      <x:c r="F14" s="4" t="str">
        <x:v>Fig.2猫鼠例题问所用物体；局部取证可解，不应因Plot就强制多跳图。</x:v>
      </x:c>
      <x:c r="G14" s="4" t="str">
        <x:v>论文定义级核对；代表题按工作簿题干分析；未逐题观看视频</x:v>
      </x:c>
      <x:c r="H14" s="4" t="str">
        <x:v>https://arxiv.org/html/2406.04264v3</x:v>
      </x:c>
      <x:c r="I14" s="4" t="str">
        <x:v>https://github.com/JUNJIE99/MLVU</x:v>
      </x:c>
    </x:row>
    <x:row r="15" ht="52" customHeight="1">
      <x:c r="A15" s="4" t="str">
        <x:v>Video-MME</x:v>
      </x:c>
      <x:c r="B15" s="4" t="str">
        <x:v>Spatial Reasoning</x:v>
      </x:c>
      <x:c r="C15" s="4" t="str">
        <x:v>Why does the roof object fly?</x:v>
      </x:c>
      <x:c r="D15" s="4" t="str">
        <x:v>P11 | P17</x:v>
      </x:c>
      <x:c r="E15" s="4" t="str">
        <x:v>R6</x:v>
      </x:c>
      <x:c r="F15" s="4" t="str">
        <x:v>代表题问屋顶物体为何飞起，是原因推断，不是左右/距离计算。其他子题按直接空间事实R1、关系推理R6或场景建模R9拆分。</x:v>
      </x:c>
      <x:c r="G15" s="4" t="str">
        <x:v>论文定义级核对；代表题按工作簿题干分析；未逐题观看视频</x:v>
      </x:c>
      <x:c r="H15" s="4" t="str">
        <x:v>https://arxiv.org/html/2405.21075v3</x:v>
      </x:c>
      <x:c r="I15" s="4" t="str">
        <x:v>https://huggingface.co/datasets/lmms-eval/Video-MME</x:v>
      </x:c>
    </x:row>
    <x:row r="16" ht="52" customHeight="1">
      <x:c r="A16" s="4" t="str">
        <x:v>Video-MME-v2</x:v>
      </x:c>
      <x:c r="B16" s="4" t="str">
        <x:v>Professional Knowledge Acquisition</x:v>
      </x:c>
      <x:c r="C16" s="4" t="str">
        <x:v>What is the area of the entire rectangle?</x:v>
      </x:c>
      <x:c r="D16" s="4" t="str">
        <x:v>P15</x:v>
      </x:c>
      <x:c r="E16" s="4" t="str">
        <x:v>R8</x:v>
      </x:c>
      <x:c r="F16" s="4" t="str">
        <x:v>矩形面积示例R8；但专业知识类本身还含明示知识取证R1和概念应用R6，不能整类等同数学求解。</x:v>
      </x:c>
      <x:c r="G16" s="4" t="str">
        <x:v>论文定义级核对；代表题按工作簿题干分析；未逐题观看视频</x:v>
      </x:c>
      <x:c r="H16" s="4" t="str">
        <x:v>https://arxiv.org/pdf/2604.05015</x:v>
      </x:c>
      <x:c r="I16" s="4" t="str">
        <x:v>https://huggingface.co/datasets/MME-Benchmarks/Video-MME-v2</x:v>
      </x:c>
    </x:row>
    <x:row r="17" ht="52" customHeight="1">
      <x:c r="A17" s="4" t="str">
        <x:v>EgoLifeQA</x:v>
      </x:c>
      <x:c r="B17" s="4" t="str">
        <x:v>EntityLog</x:v>
      </x:c>
      <x:c r="C17" s="4" t="str">
        <x:v>Which price is closest to what we paid for one yogurt?</x:v>
      </x:c>
      <x:c r="D17" s="4" t="str">
        <x:v>P20</x:v>
      </x:c>
      <x:c r="E17" s="4" t="str">
        <x:v>R8</x:v>
      </x:c>
      <x:c r="F17" s="4" t="str">
        <x:v>单价示例的证据是19.9元/6杯，需除法并匹配最近价格，不只是历史检索；直接问地点/价格明示值走R1。</x:v>
      </x:c>
      <x:c r="G17" s="4" t="str">
        <x:v>论文定义级核对；代表题按工作簿题干分析；未逐题观看视频</x:v>
      </x:c>
      <x:c r="H17" s="4" t="str">
        <x:v>https://arxiv.org/html/2503.03803v2</x:v>
      </x:c>
      <x:c r="I17" s="4" t="str">
        <x:v>https://github.com/evolvinglmms-lab/egolife</x:v>
      </x:c>
    </x:row>
    <x:row r="18" ht="52" customHeight="1">
      <x:c r="A18" s="4" t="str">
        <x:v>EgoLifeQA</x:v>
      </x:c>
      <x:c r="B18" s="4" t="str">
        <x:v>RelationMap</x:v>
      </x:c>
      <x:c r="C18" s="4" t="str">
        <x:v>Shure is playing the guitar now. Who else usually joins us playing guitar together?</x:v>
      </x:c>
      <x:c r="D18" s="4" t="str">
        <x:v>P11 | P20</x:v>
      </x:c>
      <x:c r="E18" s="4" t="str">
        <x:v>R3</x:v>
      </x:c>
      <x:c r="F18" s="4" t="str">
        <x:v>Fig.5以共同弹吉他的频次比较人物；人际统计不等同社会心理推理。明示身份R1，频次R3，隐含关系R6。</x:v>
      </x:c>
      <x:c r="G18" s="4" t="str">
        <x:v>论文定义级核对；代表题按工作簿题干分析；未逐题观看视频</x:v>
      </x:c>
      <x:c r="H18" s="4" t="str">
        <x:v>https://arxiv.org/html/2503.03803v2</x:v>
      </x:c>
      <x:c r="I18" s="4" t="str">
        <x:v>https://github.com/evolvinglmms-lab/egolife</x:v>
      </x:c>
    </x:row>
    <x:row r="19" ht="52" customHeight="1">
      <x:c r="A19" s="4" t="str">
        <x:v>EgoSchema</x:v>
      </x:c>
      <x:c r="B19" s="4" t="str">
        <x:v>Long-form Video QA</x:v>
      </x:c>
      <x:c r="C19" s="4" t="str">
        <x:v>What is the overarching behavior of C and the man in the video?</x:v>
      </x:c>
      <x:c r="D19" s="4" t="str">
        <x:v>P09 | P10 | P11</x:v>
      </x:c>
      <x:c r="E19" s="4" t="str">
        <x:v>R5</x:v>
      </x:c>
      <x:c r="F19" s="4" t="str">
        <x:v>原论文行为概括例题需要跨片段覆盖；隐含动机/社交解释走R6。长视频本身不是独立稀疏检索类。</x:v>
      </x:c>
      <x:c r="G19" s="4" t="str">
        <x:v>论文定义级核对；代表题按工作簿题干分析；未逐题观看视频</x:v>
      </x:c>
      <x:c r="H19" s="4" t="str">
        <x:v>https://arxiv.org/pdf/2308.09126</x:v>
      </x:c>
      <x:c r="I19" s="4" t="str">
        <x:v>https://egoschema.github.io/</x:v>
      </x:c>
    </x:row>
  </x:sheetData>
  <x:pageMargins left="0.7" right="0.7" top="0.75" bottom="0.75" header="0.3" footer="0.3"/>
  <x:tableParts count="1">
    <x:tablePart xmlns:r="http://schemas.openxmlformats.org/officeDocument/2006/relationships" r:id="Rbb3dc234cb624a95"/>
  </x:tableParts>
</x:worksheet>
</file>

<file path=xl/worksheets/sheet6.xml><?xml version="1.0" encoding="utf-8"?>
<x:worksheet xmlns:x="http://schemas.openxmlformats.org/spreadsheetml/2006/main">
  <x:sheetFormatPr defaultRowHeight="15"/>
  <x:cols>
    <x:col min="1" max="1" width="10" hidden="0" customWidth="1"/>
    <x:col min="2" max="2" width="28" hidden="0" customWidth="1"/>
    <x:col min="3" max="3" width="20" hidden="0" customWidth="1"/>
    <x:col min="4" max="4" width="32" hidden="0" customWidth="1"/>
    <x:col min="5" max="5" width="40" hidden="0" customWidth="1"/>
    <x:col min="6" max="6" width="40" hidden="0" customWidth="1"/>
    <x:col min="7" max="7" width="40" hidden="0" customWidth="1"/>
    <x:col min="8" max="8" width="14" hidden="0" customWidth="1"/>
    <x:col min="9" max="9" width="22" hidden="0" customWidth="1"/>
    <x:col min="10" max="10" width="40" hidden="0" customWidth="1"/>
    <x:col min="11" max="11" width="38" hidden="0" customWidth="1"/>
    <x:col min="12" max="12" width="34" hidden="0" customWidth="1"/>
    <x:col min="13" max="13" width="38" hidden="0" customWidth="1"/>
    <x:col min="14" max="14" width="38" hidden="0" customWidth="1"/>
  </x:cols>
  <x:sheetData>
    <x:row r="1" ht="42" customHeight="1">
      <x:c r="A1" s="10" t="str">
        <x:v>Pipeline ID</x:v>
      </x:c>
      <x:c r="B1" s="10" t="str">
        <x:v>Pipeline 名称</x:v>
      </x:c>
      <x:c r="C1" s="10" t="str">
        <x:v>Benchmark</x:v>
      </x:c>
      <x:c r="D1" s="10" t="str">
        <x:v>Benchmark 原生题型</x:v>
      </x:c>
      <x:c r="E1" s="10" t="str">
        <x:v>代表原题（英文）</x:v>
      </x:c>
      <x:c r="F1" s="10" t="str">
        <x:v>原题选项（英文）</x:v>
      </x:c>
      <x:c r="G1" s="10" t="str">
        <x:v>题干中文翻译</x:v>
      </x:c>
      <x:c r="H1" s="10" t="str">
        <x:v>代表题建议R</x:v>
      </x:c>
      <x:c r="I1" s="10" t="str">
        <x:v>条件候选R</x:v>
      </x:c>
      <x:c r="J1" s="10" t="str">
        <x:v>修正理由/条件</x:v>
      </x:c>
      <x:c r="K1" s="10" t="str">
        <x:v>审阅状态</x:v>
      </x:c>
      <x:c r="L1" s="10" t="str">
        <x:v>Source ID</x:v>
      </x:c>
      <x:c r="M1" s="10" t="str">
        <x:v>论文URL</x:v>
      </x:c>
      <x:c r="N1" s="10" t="str">
        <x:v>数据/项目URL</x:v>
      </x:c>
    </x:row>
    <x:row r="2" ht="66" customHeight="1">
      <x:c r="A2" s="4" t="str">
        <x:v>P01</x:v>
      </x:c>
      <x:c r="B2" s="4" t="str">
        <x:v>局部直接取证</x:v>
      </x:c>
      <x:c r="C2" s="4" t="str">
        <x:v>LVBench</x:v>
      </x:c>
      <x:c r="D2" s="4" t="str">
        <x:v>Entity Recognition</x:v>
      </x:c>
      <x:c r="E2" s="4" t="str">
        <x:v>How many sticks does the protagonist put in the incense burner?</x:v>
      </x:c>
      <x:c r="F2" s="4" t="str">
        <x:v>A. 3
B. 2
C. 5
D. 1</x:v>
      </x:c>
      <x:c r="G2" s="4" t="str">
        <x:v>主角在香炉里放了几根香？</x:v>
      </x:c>
      <x:c r="H2" s="4" t="str">
        <x:v>R4</x:v>
      </x:c>
      <x:c r="I2" s="4" t="str">
        <x:v>R1 | R2 | R4 | R6</x:v>
      </x:c>
      <x:c r="J2" s="4" t="str">
        <x:v>6种能力可多标签组合。香的示例问实体根数，需实例去重；追踪/关系样本另分R2/R6。</x:v>
      </x:c>
      <x:c r="K2" s="4" t="str">
        <x:v>论文定义级核对；代表题按工作簿题干分析；未逐题观看视频</x:v>
      </x:c>
      <x:c r="L2" s="4" t="str">
        <x:v>src.lvbench.entity_recognition</x:v>
      </x:c>
      <x:c r="M2" s="4" t="str">
        <x:v>https://arxiv.org/html/2406.08035v3</x:v>
      </x:c>
      <x:c r="N2" s="4" t="str">
        <x:v>https://github.com/zai-org/LVBench</x:v>
      </x:c>
    </x:row>
    <x:row r="3" ht="66" customHeight="1">
      <x:c r="A3" s="4" t="str">
        <x:v>P01</x:v>
      </x:c>
      <x:c r="B3" s="4" t="str">
        <x:v>局部直接取证</x:v>
      </x:c>
      <x:c r="C3" s="4" t="str">
        <x:v>LVBench</x:v>
      </x:c>
      <x:c r="D3" s="4" t="str">
        <x:v>Event Understanding</x:v>
      </x:c>
      <x:c r="E3" s="4" t="str">
        <x:v>How is the weather like in the opening?</x:v>
      </x:c>
      <x:c r="F3" s="4" t="str">
        <x:v>A. Cloudy
B. Snowy
C. Sunny
D. Rainy</x:v>
      </x:c>
      <x:c r="G3" s="4" t="str">
        <x:v>开场天气如何？</x:v>
      </x:c>
      <x:c r="H3" s="4" t="str">
        <x:v>R1</x:v>
      </x:c>
      <x:c r="I3" s="4" t="str">
        <x:v>R1 | R3 | R5</x:v>
      </x:c>
      <x:c r="J3" s="4" t="str">
        <x:v>天气示例是开场局部观察；Fig.1换人次数需R3；视频类型/整体流程可能需R5。</x:v>
      </x:c>
      <x:c r="K3" s="4" t="str">
        <x:v>论文定义级核对；代表题按工作簿题干分析；未逐题观看视频</x:v>
      </x:c>
      <x:c r="L3" s="4" t="str">
        <x:v>src.lvbench.event_understanding</x:v>
      </x:c>
      <x:c r="M3" s="4" t="str">
        <x:v>https://arxiv.org/html/2406.08035v3</x:v>
      </x:c>
      <x:c r="N3" s="4" t="str">
        <x:v>https://github.com/zai-org/LVBench</x:v>
      </x:c>
    </x:row>
    <x:row r="4" ht="66" customHeight="1">
      <x:c r="A4" s="4" t="str">
        <x:v>P01</x:v>
      </x:c>
      <x:c r="B4" s="4" t="str">
        <x:v>局部直接取证</x:v>
      </x:c>
      <x:c r="C4" s="4" t="str">
        <x:v>LVBench</x:v>
      </x:c>
      <x:c r="D4" s="4" t="str">
        <x:v>Key Information Retrieval</x:v>
      </x:c>
      <x:c r="E4" s="4" t="str">
        <x:v>What year appears in the opening caption of the video?</x:v>
      </x:c>
      <x:c r="F4" s="4" t="str">
        <x:v>A. 1636
B. 1366
C. 1363
D. 1633</x:v>
      </x:c>
      <x:c r="G4" s="4" t="str">
        <x:v>视频开头字幕中显示的是哪一年？</x:v>
      </x:c>
      <x:c r="H4" s="4" t="str">
        <x:v>R1</x:v>
      </x:c>
      <x:c r="I4" s="4" t="str">
        <x:v>R1 | R4 | R8</x:v>
      </x:c>
      <x:c r="J4" s="4" t="str">
        <x:v>片头年份可局部OCR；所有关键词需R4，依据读数计算才R8。</x:v>
      </x:c>
      <x:c r="K4" s="4" t="str">
        <x:v>论文定义级核对；代表题按工作簿题干分析；未逐题观看视频</x:v>
      </x:c>
      <x:c r="L4" s="4" t="str">
        <x:v>src.lvbench.key_information_retrieval</x:v>
      </x:c>
      <x:c r="M4" s="4" t="str">
        <x:v>https://arxiv.org/html/2406.08035v3</x:v>
      </x:c>
      <x:c r="N4" s="4" t="str">
        <x:v>https://github.com/zai-org/LVBench</x:v>
      </x:c>
    </x:row>
    <x:row r="5" ht="150" customHeight="1">
      <x:c r="A5" s="4" t="str">
        <x:v>P01</x:v>
      </x:c>
      <x:c r="B5" s="4" t="str">
        <x:v>局部直接取证</x:v>
      </x:c>
      <x:c r="C5" s="4" t="str">
        <x:v>LVBench</x:v>
      </x:c>
      <x:c r="D5" s="4" t="str">
        <x:v>Temporal Grounding</x:v>
      </x:c>
      <x:c r="E5" s="4" t="str">
        <x:v>What happens from 01:58-02:46?</x:v>
      </x:c>
      <x:c r="F5" s="4" t="str">
        <x:v>A. A woman runs, stumbles against a man, and knocks over all his stuff
B. A woman runs, stumbles against a man, and he cries
C. A man runs, stumbles against a woman, and she cries
D. A man runs, stumbles against a woman, and knocks over all her stuff</x:v>
      </x:c>
      <x:c r="G5" s="4" t="str">
        <x:v>从01:58 - 02:46会发生什么？</x:v>
      </x:c>
      <x:c r="H5" s="4" t="str">
        <x:v>R1</x:v>
      </x:c>
      <x:c r="I5" s="4" t="str">
        <x:v>R1 | R3</x:v>
      </x:c>
      <x:c r="J5" s="4" t="str">
        <x:v>给定01:58–02:46问发生什么走R1；原定义还包含事件定位、持续时间及顺序，走R3。</x:v>
      </x:c>
      <x:c r="K5" s="4" t="str">
        <x:v>论文定义级核对；代表题按工作簿题干分析；未逐题观看视频</x:v>
      </x:c>
      <x:c r="L5" s="4" t="str">
        <x:v>src.lvbench.temporal_grounding</x:v>
      </x:c>
      <x:c r="M5" s="4" t="str">
        <x:v>https://arxiv.org/html/2406.08035v3</x:v>
      </x:c>
      <x:c r="N5" s="4" t="str">
        <x:v>https://github.com/zai-org/LVBench</x:v>
      </x:c>
    </x:row>
    <x:row r="6" ht="66" customHeight="1">
      <x:c r="A6" s="4" t="str">
        <x:v>P01</x:v>
      </x:c>
      <x:c r="B6" s="4" t="str">
        <x:v>局部直接取证</x:v>
      </x:c>
      <x:c r="C6" s="4" t="str">
        <x:v>MLVU</x:v>
      </x:c>
      <x:c r="D6" s="4" t="str">
        <x:v>Sub-Scene Captioning</x:v>
      </x:c>
      <x:c r="E6" s="4" t="str">
        <x:v>Please describe how the man in the white suit saved the woman wearing red high heels when she was about to fall due to a twisted ankle…</x:v>
      </x:c>
      <x:c r="F6" s="4" t="str">
        <x:v>不适用（开放文本生成题）</x:v>
      </x:c>
      <x:c r="G6" s="4" t="str">
        <x:v>请描述身穿白色西装的男子如何救下那名因脚踝扭伤、即将跌倒的红色高跟鞋女子……</x:v>
      </x:c>
      <x:c r="H6" s="4" t="str">
        <x:v>R1</x:v>
      </x:c>
      <x:c r="I6" s="4" t="str">
        <x:v>R1 | R5</x:v>
      </x:c>
      <x:c r="J6" s="4" t="str">
        <x:v>先定位被描述子场景，再生成局部描述；生成输出不是新pipeline。</x:v>
      </x:c>
      <x:c r="K6" s="4" t="str">
        <x:v>论文定义级核对；代表题按工作簿题干分析；未逐题观看视频</x:v>
      </x:c>
      <x:c r="L6" s="4" t="str">
        <x:v>src.mlvu.ssc</x:v>
      </x:c>
      <x:c r="M6" s="4" t="str">
        <x:v>https://arxiv.org/html/2406.04264v3</x:v>
      </x:c>
      <x:c r="N6" s="4" t="str">
        <x:v>https://github.com/JUNJIE99/MLVU</x:v>
      </x:c>
    </x:row>
    <x:row r="7" ht="66" customHeight="1">
      <x:c r="A7" s="4" t="str">
        <x:v>P01</x:v>
      </x:c>
      <x:c r="B7" s="4" t="str">
        <x:v>局部直接取证</x:v>
      </x:c>
      <x:c r="C7" s="4" t="str">
        <x:v>MVBench</x:v>
      </x:c>
      <x:c r="D7" s="4" t="str">
        <x:v>Action Antonym</x:v>
      </x:c>
      <x:c r="E7" s="4" t="str">
        <x:v>Which one of these descriptions correctly matches the actions in the video?</x:v>
      </x:c>
      <x:c r="F7" s="4" t="str">
        <x:v>A. not sure
B. scattering something down
C. piling something up</x:v>
      </x:c>
      <x:c r="G7" s="4" t="str">
        <x:v>以下哪项描述与视频中的动作正确匹配？</x:v>
      </x:c>
      <x:c r="H7" s="4" t="str">
        <x:v>R2</x:v>
      </x:c>
      <x:c r="I7" s="4" t="str">
        <x:v>R2</x:v>
      </x:c>
      <x:c r="J7" s="4" t="str">
        <x:v>逆序动作辨别需要有序多帧；局部时间范围不意味着单帧取证。</x:v>
      </x:c>
      <x:c r="K7" s="4" t="str">
        <x:v>论文定义级核对；代表题按工作簿题干分析；未逐题观看视频</x:v>
      </x:c>
      <x:c r="L7" s="4" t="str">
        <x:v>src.mvbench.action_antonym</x:v>
      </x:c>
      <x:c r="M7" s="4" t="str">
        <x:v>https://arxiv.org/pdf/2311.17005</x:v>
      </x:c>
      <x:c r="N7" s="4" t="str">
        <x:v>https://huggingface.co/datasets/OpenGVLab/MVBench</x:v>
      </x:c>
    </x:row>
    <x:row r="8" ht="80" customHeight="1">
      <x:c r="A8" s="4" t="str">
        <x:v>P01</x:v>
      </x:c>
      <x:c r="B8" s="4" t="str">
        <x:v>局部直接取证</x:v>
      </x:c>
      <x:c r="C8" s="4" t="str">
        <x:v>MVBench</x:v>
      </x:c>
      <x:c r="D8" s="4" t="str">
        <x:v>Fine-grained Action</x:v>
      </x:c>
      <x:c r="E8" s="4" t="str">
        <x:v>What is the action performed by the person in the video?</x:v>
      </x:c>
      <x:c r="F8" s="4" t="str">
        <x:v>A. watering
B. leaking
C. pouring
D. planting</x:v>
      </x:c>
      <x:c r="G8" s="4" t="str">
        <x:v>视频中人员执行的操作是什么？</x:v>
      </x:c>
      <x:c r="H8" s="4" t="str">
        <x:v>R2</x:v>
      </x:c>
      <x:c r="I8" s="4" t="str">
        <x:v>R1 | R2</x:v>
      </x:c>
      <x:c r="J8" s="4" t="str">
        <x:v>设计上比较相似动作的动态细节；静态可判子类可R1，但不利用文字偏置代替视频。</x:v>
      </x:c>
      <x:c r="K8" s="4" t="str">
        <x:v>论文定义级核对；代表题按工作簿题干分析；未逐题观看视频</x:v>
      </x:c>
      <x:c r="L8" s="4" t="str">
        <x:v>src.mvbench.fine_grained_action</x:v>
      </x:c>
      <x:c r="M8" s="4" t="str">
        <x:v>https://arxiv.org/pdf/2311.17005</x:v>
      </x:c>
      <x:c r="N8" s="4" t="str">
        <x:v>https://huggingface.co/datasets/OpenGVLab/MVBench</x:v>
      </x:c>
    </x:row>
    <x:row r="9" ht="80" customHeight="1">
      <x:c r="A9" s="4" t="str">
        <x:v>P01</x:v>
      </x:c>
      <x:c r="B9" s="4" t="str">
        <x:v>局部直接取证</x:v>
      </x:c>
      <x:c r="C9" s="4" t="str">
        <x:v>MVBench</x:v>
      </x:c>
      <x:c r="D9" s="4" t="str">
        <x:v>Fine-grained Pose</x:v>
      </x:c>
      <x:c r="E9" s="4" t="str">
        <x:v>What is the pose performed by the person in the video?</x:v>
      </x:c>
      <x:c r="F9" s="4" t="str">
        <x:v>A. pick up
B. sit down
C. drop
D. stand up</x:v>
      </x:c>
      <x:c r="G9" s="4" t="str">
        <x:v>视频中人员的姿势是什么？</x:v>
      </x:c>
      <x:c r="H9" s="4" t="str">
        <x:v>R2</x:v>
      </x:c>
      <x:c r="I9" s="4" t="str">
        <x:v>R1 | R2</x:v>
      </x:c>
      <x:c r="J9" s="4" t="str">
        <x:v>表内选项包含pick up/sit down/drop/stand up，涉及转移；真正静态姿势读数可R1。</x:v>
      </x:c>
      <x:c r="K9" s="4" t="str">
        <x:v>论文定义级核对；代表题按工作簿题干分析；未逐题观看视频</x:v>
      </x:c>
      <x:c r="L9" s="4" t="str">
        <x:v>src.mvbench.fine_grained_pose</x:v>
      </x:c>
      <x:c r="M9" s="4" t="str">
        <x:v>https://arxiv.org/pdf/2311.17005</x:v>
      </x:c>
      <x:c r="N9" s="4" t="str">
        <x:v>https://huggingface.co/datasets/OpenGVLab/MVBench</x:v>
      </x:c>
    </x:row>
    <x:row r="10" ht="52" customHeight="1">
      <x:c r="A10" s="4" t="str">
        <x:v>P01</x:v>
      </x:c>
      <x:c r="B10" s="4" t="str">
        <x:v>局部直接取证</x:v>
      </x:c>
      <x:c r="C10" s="4" t="str">
        <x:v>MVBench</x:v>
      </x:c>
      <x:c r="D10" s="4" t="str">
        <x:v>Moving Attribute</x:v>
      </x:c>
      <x:c r="E10" s="4" t="str">
        <x:v>What shape is the moving object when the video begins?</x:v>
      </x:c>
      <x:c r="F10" s="4" t="str">
        <x:v>A. cylinder
B. sphere
C. cube</x:v>
      </x:c>
      <x:c r="G10" s="4" t="str">
        <x:v>视频开始时，移动物体是什么形状？</x:v>
      </x:c>
      <x:c r="H10" s="4" t="str">
        <x:v>R2</x:v>
      </x:c>
      <x:c r="I10" s="4" t="str">
        <x:v>R1 | R2</x:v>
      </x:c>
      <x:c r="J10" s="4" t="str">
        <x:v>先用邻帧确定moving目标，再读形状；不能只看首帧判断运动。</x:v>
      </x:c>
      <x:c r="K10" s="4" t="str">
        <x:v>论文定义级核对；代表题按工作簿题干分析；未逐题观看视频</x:v>
      </x:c>
      <x:c r="L10" s="4" t="str">
        <x:v>src.mvbench.moving_attribute</x:v>
      </x:c>
      <x:c r="M10" s="4" t="str">
        <x:v>https://arxiv.org/pdf/2311.17005</x:v>
      </x:c>
      <x:c r="N10" s="4" t="str">
        <x:v>https://huggingface.co/datasets/OpenGVLab/MVBench</x:v>
      </x:c>
    </x:row>
    <x:row r="11" ht="52" customHeight="1">
      <x:c r="A11" s="4" t="str">
        <x:v>P01</x:v>
      </x:c>
      <x:c r="B11" s="4" t="str">
        <x:v>局部直接取证</x:v>
      </x:c>
      <x:c r="C11" s="4" t="str">
        <x:v>MVBench</x:v>
      </x:c>
      <x:c r="D11" s="4" t="str">
        <x:v>Object Existence</x:v>
      </x:c>
      <x:c r="E11" s="4" t="str">
        <x:v>Are there any moving green objects when the video ends?</x:v>
      </x:c>
      <x:c r="F11" s="4" t="str">
        <x:v>A. not sure
B. yes
C. no</x:v>
      </x:c>
      <x:c r="G11" s="4" t="str">
        <x:v>视频结束时是否有任何移动的绿色物体？</x:v>
      </x:c>
      <x:c r="H11" s="4" t="str">
        <x:v>R2</x:v>
      </x:c>
      <x:c r="I11" s="4" t="str">
        <x:v>R1 | R2 | R4</x:v>
      </x:c>
      <x:c r="J11" s="4" t="str">
        <x:v>示例moving green需要末段邻帧识别运动；普通可见存在性可R1，全范围否定需R4覆盖。</x:v>
      </x:c>
      <x:c r="K11" s="4" t="str">
        <x:v>论文定义级核对；代表题按工作簿题干分析；未逐题观看视频</x:v>
      </x:c>
      <x:c r="L11" s="4" t="str">
        <x:v>src.mvbench.object_existence</x:v>
      </x:c>
      <x:c r="M11" s="4" t="str">
        <x:v>https://arxiv.org/pdf/2311.17005</x:v>
      </x:c>
      <x:c r="N11" s="4" t="str">
        <x:v>https://huggingface.co/datasets/OpenGVLab/MVBench</x:v>
      </x:c>
    </x:row>
    <x:row r="12" ht="46" customHeight="1">
      <x:c r="A12" s="4" t="str">
        <x:v>P01</x:v>
      </x:c>
      <x:c r="B12" s="4" t="str">
        <x:v>局部直接取证</x:v>
      </x:c>
      <x:c r="C12" s="4" t="str">
        <x:v>TVBench</x:v>
      </x:c>
      <x:c r="D12" s="4" t="str">
        <x:v>Action Antonym</x:v>
      </x:c>
      <x:c r="E12" s="4" t="str">
        <x:v>What is the action being performed in the video?</x:v>
      </x:c>
      <x:c r="F12" s="4" t="str">
        <x:v>A. Wear jacket
B. Take off jacket</x:v>
      </x:c>
      <x:c r="G12" s="4" t="str">
        <x:v>视频中执行的操作是什么？</x:v>
      </x:c>
      <x:c r="H12" s="4" t="str">
        <x:v>R2</x:v>
      </x:c>
      <x:c r="I12" s="4" t="str">
        <x:v>R2</x:v>
      </x:c>
      <x:c r="J12" s="4" t="str">
        <x:v>官方示例戴帽/摘帽、坐下/站起；必须辨别动态方向。</x:v>
      </x:c>
      <x:c r="K12" s="4" t="str">
        <x:v>原论文模板核对；执行归类为设计建议</x:v>
      </x:c>
      <x:c r="L12" s="4" t="str">
        <x:v>src.tvbench.action_antonym</x:v>
      </x:c>
      <x:c r="M12" s="4" t="str">
        <x:v>https://arxiv.org/html/2410.07752v2</x:v>
      </x:c>
      <x:c r="N12" s="4" t="str">
        <x:v>https://huggingface.co/datasets/FunAILab/TVBench</x:v>
      </x:c>
    </x:row>
    <x:row r="13" ht="108" customHeight="1">
      <x:c r="A13" s="4" t="str">
        <x:v>P01</x:v>
      </x:c>
      <x:c r="B13" s="4" t="str">
        <x:v>局部直接取证</x:v>
      </x:c>
      <x:c r="C13" s="4" t="str">
        <x:v>Video-MME</x:v>
      </x:c>
      <x:c r="D13" s="4" t="str">
        <x:v>Action Recognition</x:v>
      </x:c>
      <x:c r="E13" s="4" t="str">
        <x:v>What is special about the celebration in New York according to the video?</x:v>
      </x:c>
      <x:c r="F13" s="4" t="str">
        <x:v>A. Hosting large parades.
B. Dressing in green and dyeing the river to green.
C. Drinking a lot.
D. Planting shamrocks.</x:v>
      </x:c>
      <x:c r="G13" s="4" t="str">
        <x:v>根据视频，纽约的庆祝活动有什么特别之处？</x:v>
      </x:c>
      <x:c r="H13" s="4" t="str">
        <x:v>R1</x:v>
      </x:c>
      <x:c r="I13" s="4" t="str">
        <x:v>R1 | R2</x:v>
      </x:c>
      <x:c r="J13" s="4" t="str">
        <x:v>识别一次庆祝行为通常是局部事件取证；需动作方向、细粒度过程或区分逆序动作的子题改R2。</x:v>
      </x:c>
      <x:c r="K13" s="4" t="str">
        <x:v>论文定义级核对；代表题按工作簿题干分析；未逐题观看视频</x:v>
      </x:c>
      <x:c r="L13" s="4" t="str">
        <x:v>src.video_mme.action_recognition</x:v>
      </x:c>
      <x:c r="M13" s="4" t="str">
        <x:v>https://arxiv.org/html/2405.21075v3</x:v>
      </x:c>
      <x:c r="N13" s="4" t="str">
        <x:v>https://huggingface.co/datasets/lmms-eval/Video-MME</x:v>
      </x:c>
    </x:row>
    <x:row r="14" ht="122" customHeight="1">
      <x:c r="A14" s="4" t="str">
        <x:v>P01</x:v>
      </x:c>
      <x:c r="B14" s="4" t="str">
        <x:v>局部直接取证</x:v>
      </x:c>
      <x:c r="C14" s="4" t="str">
        <x:v>Video-MME</x:v>
      </x:c>
      <x:c r="D14" s="4" t="str">
        <x:v>Attribute Perception</x:v>
      </x:c>
      <x:c r="E14" s="4" t="str">
        <x:v>Which of the following options is incorrect regarding the events in Sarajevo depicted in the video?</x:v>
      </x:c>
      <x:c r="F14" s="4" t="str">
        <x:v>A. It was organized by the Black Hand in Serbia.
B. Ferdinand was sitting on the left side of the car.
C. Ferdinand was wearing a white hat.
D. The killer was wearing black suit.</x:v>
      </x:c>
      <x:c r="G14" s="4" t="str">
        <x:v>关于视频所描述的萨拉热窝事件，以下哪个选项是不正确的？</x:v>
      </x:c>
      <x:c r="H14" s="4" t="str">
        <x:v>R6</x:v>
      </x:c>
      <x:c r="I14" s="4" t="str">
        <x:v>R1 | R4 | R6</x:v>
      </x:c>
      <x:c r="J14" s="4" t="str">
        <x:v>代表题是跨陈述判断哪项不正确，需要逐项证据核验；单一属性读取走R1，穷举属性/缺失项走R4。</x:v>
      </x:c>
      <x:c r="K14" s="4" t="str">
        <x:v>论文定义级核对；代表题按工作簿题干分析；未逐题观看视频</x:v>
      </x:c>
      <x:c r="L14" s="4" t="str">
        <x:v>src.video_mme.attribute_perception</x:v>
      </x:c>
      <x:c r="M14" s="4" t="str">
        <x:v>https://arxiv.org/html/2405.21075v3</x:v>
      </x:c>
      <x:c r="N14" s="4" t="str">
        <x:v>https://huggingface.co/datasets/lmms-eval/Video-MME</x:v>
      </x:c>
    </x:row>
    <x:row r="15" ht="80" customHeight="1">
      <x:c r="A15" s="4" t="str">
        <x:v>P01</x:v>
      </x:c>
      <x:c r="B15" s="4" t="str">
        <x:v>局部直接取证</x:v>
      </x:c>
      <x:c r="C15" s="4" t="str">
        <x:v>Video-MME</x:v>
      </x:c>
      <x:c r="D15" s="4" t="str">
        <x:v>Object Recognition</x:v>
      </x:c>
      <x:c r="E15" s="4" t="str">
        <x:v>Which of the following features/items is not discussed in the video in relation to the tomb?</x:v>
      </x:c>
      <x:c r="F15" s="4" t="str">
        <x:v>A. Inkstone.
B. Niche.
C. Jade.
D. Sacrificial table.</x:v>
      </x:c>
      <x:c r="G15" s="4" t="str">
        <x:v>关于这座墓葬，视频没有讨论以下哪项特征或物品？</x:v>
      </x:c>
      <x:c r="H15" s="4" t="str">
        <x:v>R4</x:v>
      </x:c>
      <x:c r="I15" s="4" t="str">
        <x:v>R1 | R4</x:v>
      </x:c>
      <x:c r="J15" s="4" t="str">
        <x:v>代表题问墓葬哪些特征/物品未被讨论，是限定话题的排除清单，不是找到一个物体即可停止。普通目标识别仍R1。</x:v>
      </x:c>
      <x:c r="K15" s="4" t="str">
        <x:v>论文定义级核对；代表题按工作簿题干分析；未逐题观看视频</x:v>
      </x:c>
      <x:c r="L15" s="4" t="str">
        <x:v>src.video_mme.object_recognition</x:v>
      </x:c>
      <x:c r="M15" s="4" t="str">
        <x:v>https://arxiv.org/html/2405.21075v3</x:v>
      </x:c>
      <x:c r="N15" s="4" t="str">
        <x:v>https://huggingface.co/datasets/lmms-eval/Video-MME</x:v>
      </x:c>
    </x:row>
    <x:row r="16" ht="108" customHeight="1">
      <x:c r="A16" s="4" t="str">
        <x:v>P01</x:v>
      </x:c>
      <x:c r="B16" s="4" t="str">
        <x:v>局部直接取证</x:v>
      </x:c>
      <x:c r="C16" s="4" t="str">
        <x:v>Video-MME</x:v>
      </x:c>
      <x:c r="D16" s="4" t="str">
        <x:v>OCR Problems</x:v>
      </x:c>
      <x:c r="E16" s="4" t="str">
        <x:v>What is the specific sentence in the smart phone that makes the man embarrassed?</x:v>
      </x:c>
      <x:c r="F16" s="4" t="str">
        <x:v>A. BTW...you got something in your teeth!
B. Dude! You gotta come toBigStuf Camps!
C. Smoke Sig 2.0.
D. Last but not least.</x:v>
      </x:c>
      <x:c r="G16" s="4" t="str">
        <x:v>智能手机中是什么具体的句子让男人尴尬？</x:v>
      </x:c>
      <x:c r="H16" s="4" t="str">
        <x:v>R1</x:v>
      </x:c>
      <x:c r="I16" s="4" t="str">
        <x:v>R1 | R4</x:v>
      </x:c>
      <x:c r="J16" s="4" t="str">
        <x:v>手机上的特定句子可定位后高分辨率读取；若收集全片所有文字、不同店名或未出现项，需要R4清单。</x:v>
      </x:c>
      <x:c r="K16" s="4" t="str">
        <x:v>论文定义级核对；代表题按工作簿题干分析；未逐题观看视频</x:v>
      </x:c>
      <x:c r="L16" s="4" t="str">
        <x:v>src.video_mme.ocr_problems</x:v>
      </x:c>
      <x:c r="M16" s="4" t="str">
        <x:v>https://arxiv.org/html/2405.21075v3</x:v>
      </x:c>
      <x:c r="N16" s="4" t="str">
        <x:v>https://huggingface.co/datasets/lmms-eval/Video-MME</x:v>
      </x:c>
    </x:row>
    <x:row r="17" ht="66" customHeight="1">
      <x:c r="A17" s="4" t="str">
        <x:v>P01</x:v>
      </x:c>
      <x:c r="B17" s="4" t="str">
        <x:v>局部直接取证</x:v>
      </x:c>
      <x:c r="C17" s="4" t="str">
        <x:v>Video-MME</x:v>
      </x:c>
      <x:c r="D17" s="4" t="str">
        <x:v>Spatial Perception</x:v>
      </x:c>
      <x:c r="E17" s="4" t="str">
        <x:v>Which of the following is visible in the background of the video when the miniature bottle is shown empty?</x:v>
      </x:c>
      <x:c r="F17" s="4" t="str">
        <x:v>A. Water.
B. Cork.
C. Shells.
D. Star.</x:v>
      </x:c>
      <x:c r="G17" s="4" t="str">
        <x:v>当微型瓶显示为空时，以下哪一项在视频背景中可见？</x:v>
      </x:c>
      <x:c r="H17" s="4" t="str">
        <x:v>R1</x:v>
      </x:c>
      <x:c r="I17" s="4" t="str">
        <x:v>R1 | R9</x:v>
      </x:c>
      <x:c r="J17" s="4" t="str">
        <x:v>空瓶出现时背景有什么通常是直接可见的局部关系；跨视角参考系、不可同框的空间关系改R9。</x:v>
      </x:c>
      <x:c r="K17" s="4" t="str">
        <x:v>论文定义级核对；代表题按工作簿题干分析；未逐题观看视频</x:v>
      </x:c>
      <x:c r="L17" s="4" t="str">
        <x:v>src.video_mme.spatial_perception</x:v>
      </x:c>
      <x:c r="M17" s="4" t="str">
        <x:v>https://arxiv.org/html/2405.21075v3</x:v>
      </x:c>
      <x:c r="N17" s="4" t="str">
        <x:v>https://huggingface.co/datasets/lmms-eval/Video-MME</x:v>
      </x:c>
    </x:row>
    <x:row r="18" ht="178" customHeight="1">
      <x:c r="A18" s="4" t="str">
        <x:v>P01</x:v>
      </x:c>
      <x:c r="B18" s="4" t="str">
        <x:v>局部直接取证</x:v>
      </x:c>
      <x:c r="C18" s="4" t="str">
        <x:v>Video-MME-v2</x:v>
      </x:c>
      <x:c r="D18" s="4" t="str">
        <x:v>Fine-Grained Action Recognition</x:v>
      </x:c>
      <x:c r="E18" s="4" t="str">
        <x:v>How did Harry Wilson complete the dribble?</x:v>
      </x:c>
      <x:c r="F18" s="4" t="str">
        <x:v>A. Knock-and-run.
B. La Croqueta.
C. Reverse Elastico.
D. Outside of the foot one-two pass.
E. Elastico.
F. Rainbow flick.
G. Step over.
H. Marseille Turn.</x:v>
      </x:c>
      <x:c r="G18" s="4" t="str">
        <x:v>Harry Wilson是如何完成运球的？</x:v>
      </x:c>
      <x:c r="H18" s="4" t="str">
        <x:v>R2</x:v>
      </x:c>
      <x:c r="I18" s="4" t="str">
        <x:v>R2</x:v>
      </x:c>
      <x:c r="J18" s="4" t="str">
        <x:v>过人动作需要细粒度连续运动证据；不能把整类并入单帧局部识别。</x:v>
      </x:c>
      <x:c r="K18" s="4" t="str">
        <x:v>论文定义级核对；代表题按工作簿题干分析；未逐题观看视频</x:v>
      </x:c>
      <x:c r="L18" s="4" t="str">
        <x:v>src.video_mme_v2.fine_grained_action_recognition</x:v>
      </x:c>
      <x:c r="M18" s="4" t="str">
        <x:v>https://arxiv.org/pdf/2604.05015</x:v>
      </x:c>
      <x:c r="N18" s="4" t="str">
        <x:v>https://huggingface.co/datasets/MME-Benchmarks/Video-MME-v2</x:v>
      </x:c>
    </x:row>
    <x:row r="19" ht="206" customHeight="1">
      <x:c r="A19" s="4" t="str">
        <x:v>P01</x:v>
      </x:c>
      <x:c r="B19" s="4" t="str">
        <x:v>局部直接取证</x:v>
      </x:c>
      <x:c r="C19" s="4" t="str">
        <x:v>Video-MME-v2</x:v>
      </x:c>
      <x:c r="D19" s="4" t="str">
        <x:v>Vision-Guided Audio Description</x:v>
      </x:c>
      <x:c r="E19" s="4" t="str">
        <x:v>In the video, on a nighttime street, a blond man wearing a light blue shirt and a backpack speaks to the camera and waves. Beside him is a woman in a red dress wearing glasses. What has he said?</x:v>
      </x:c>
      <x:c r="F19" s="4" t="str">
        <x:v>A. It's pouring down.
B. We're going to walk off the promenade.
C. It's throwing it down.
D. We're going to walk along the promenade.
E. So you guys don't get wet.
F. We are about to cross the street.
G. We are going to cross the road.
H. So you guys won't get wet.</x:v>
      </x:c>
      <x:c r="G19" s="4" t="str">
        <x:v>视频中的夜晚街道上，一名身穿浅蓝色衬衫、背着背包的金发男子对着镜头说话并挥手；旁边站着一名戴眼镜、穿红色连衣裙的女子。他说了什么？</x:v>
      </x:c>
      <x:c r="H19" s="4" t="str">
        <x:v>R1</x:v>
      </x:c>
      <x:c r="I19" s="4" t="str">
        <x:v>R1</x:v>
      </x:c>
      <x:c r="J19" s="4" t="str">
        <x:v>先按人物/街景定位，再读取同一时段说了什么；是局部跨模态事实，不必独立音画融合主pipeline。</x:v>
      </x:c>
      <x:c r="K19" s="4" t="str">
        <x:v>论文定义级核对；代表题按工作簿题干分析；未逐题观看视频</x:v>
      </x:c>
      <x:c r="L19" s="4" t="str">
        <x:v>src.video_mme_v2.vision_guided_audio_description</x:v>
      </x:c>
      <x:c r="M19" s="4" t="str">
        <x:v>https://arxiv.org/pdf/2604.05015</x:v>
      </x:c>
      <x:c r="N19" s="4" t="str">
        <x:v>https://huggingface.co/datasets/MME-Benchmarks/Video-MME-v2</x:v>
      </x:c>
    </x:row>
    <x:row r="20" ht="66" customHeight="1">
      <x:c r="A20" s="4" t="str">
        <x:v>P01</x:v>
      </x:c>
      <x:c r="B20" s="4" t="str">
        <x:v>局部直接取证</x:v>
      </x:c>
      <x:c r="C20" s="4" t="str">
        <x:v>Video-MME-v2</x:v>
      </x:c>
      <x:c r="D20" s="4" t="str">
        <x:v>Visual Recognition</x:v>
      </x:c>
      <x:c r="E20" s="4" t="str">
        <x:v>Does the ball exist underneath any of the shells?</x:v>
      </x:c>
      <x:c r="F20" s="4" t="str">
        <x:v>A. No.
B. Yes.
C. Cannot be determined.</x:v>
      </x:c>
      <x:c r="G20" s="4" t="str">
        <x:v>球是否位于任意一个壳体下面？</x:v>
      </x:c>
      <x:c r="H20" s="4" t="str">
        <x:v>R1</x:v>
      </x:c>
      <x:c r="I20" s="4" t="str">
        <x:v>R1 | R2 | R4</x:v>
      </x:c>
      <x:c r="J20" s="4" t="str">
        <x:v>球是否在壳下，若揭示后直接可见走R1；若全程遮挡须追踪R2；全片不存在性需要覆盖清单R4。不能仅从题面保证直接可见。</x:v>
      </x:c>
      <x:c r="K20" s="4" t="str">
        <x:v>论文定义级核对；代表题按工作簿题干分析；未逐题观看视频</x:v>
      </x:c>
      <x:c r="L20" s="4" t="str">
        <x:v>src.video_mme_v2.visual_recognition</x:v>
      </x:c>
      <x:c r="M20" s="4" t="str">
        <x:v>https://arxiv.org/pdf/2604.05015</x:v>
      </x:c>
      <x:c r="N20" s="4" t="str">
        <x:v>https://huggingface.co/datasets/MME-Benchmarks/Video-MME-v2</x:v>
      </x:c>
    </x:row>
    <x:row r="21" ht="122" customHeight="1">
      <x:c r="A21" s="4" t="str">
        <x:v>P02</x:v>
      </x:c>
      <x:c r="B21" s="4" t="str">
        <x:v>实体轨迹与转移账本</x:v>
      </x:c>
      <x:c r="C21" s="4" t="str">
        <x:v>LongVideoBench</x:v>
      </x:c>
      <x:c r="D21" s="4" t="str">
        <x:v>Scene-referred Object Tracking</x:v>
      </x:c>
      <x:c r="E21" s="4" t="str">
        <x:v>An airplane trails black smoke under a blue sky with mountains. In which scene has this airplane appeared before?</x:v>
      </x:c>
      <x:c r="F21" s="4" t="str">
        <x:v>A. Over the mouth of an active volcano
B. Over a vast grassland
C. At a crowded crossroad
D. Above the blue sea
E. In low airspace in front of a forest</x:v>
      </x:c>
      <x:c r="G21" s="4" t="str">
        <x:v>一架飞机在群山和蓝天下拖着黑烟飞行。这架飞机此前出现在哪个场景中？</x:v>
      </x:c>
      <x:c r="H21" s="4" t="str">
        <x:v>R1</x:v>
      </x:c>
      <x:c r="I21" s="4" t="str">
        <x:v>R1 | R2</x:v>
      </x:c>
      <x:c r="J21" s="4" t="str">
        <x:v>示例跨场景重识别同一飞机；离散候选片段检索即可，遮挡连续身份传播才需要R2。</x:v>
      </x:c>
      <x:c r="K21" s="4" t="str">
        <x:v>论文定义级核对；代表题按工作簿题干分析；未逐题观看视频</x:v>
      </x:c>
      <x:c r="L21" s="4" t="str">
        <x:v>src.longvideobench.sos</x:v>
      </x:c>
      <x:c r="M21" s="4" t="str">
        <x:v>https://arxiv.org/pdf/2407.15754</x:v>
      </x:c>
      <x:c r="N21" s="4" t="str">
        <x:v>https://huggingface.co/datasets/longvideobench/LongVideoBench</x:v>
      </x:c>
    </x:row>
    <x:row r="22" ht="80" customHeight="1">
      <x:c r="A22" s="4" t="str">
        <x:v>P02</x:v>
      </x:c>
      <x:c r="B22" s="4" t="str">
        <x:v>实体轨迹与转移账本</x:v>
      </x:c>
      <x:c r="C22" s="4" t="str">
        <x:v>MLVU</x:v>
      </x:c>
      <x:c r="D22" s="4" t="str">
        <x:v>Ego Reasoning</x:v>
      </x:c>
      <x:c r="E22" s="4" t="str">
        <x:v>Where was the baking glove before I hung it on the hook?</x:v>
      </x:c>
      <x:c r="F22" s="4" t="str">
        <x:v>A. On the kitchen count
B. By the window
C. On the oven
D. In the dishwasher</x:v>
      </x:c>
      <x:c r="G22" s="4" t="str">
        <x:v>在我把它挂在钩子上之前，烘焙手套在哪里？</x:v>
      </x:c>
      <x:c r="H22" s="4" t="str">
        <x:v>R1</x:v>
      </x:c>
      <x:c r="I22" s="4" t="str">
        <x:v>R1 | R2 | R6</x:v>
      </x:c>
      <x:c r="J22" s="4" t="str">
        <x:v>Fig.2问挂手套之前放哪里，是锚点之前状态检索；必要时同一实体关联；原因解释才R6。</x:v>
      </x:c>
      <x:c r="K22" s="4" t="str">
        <x:v>论文定义级核对；代表题按工作簿题干分析；未逐题观看视频</x:v>
      </x:c>
      <x:c r="L22" s="4" t="str">
        <x:v>src.mlvu.er</x:v>
      </x:c>
      <x:c r="M22" s="4" t="str">
        <x:v>https://arxiv.org/html/2406.04264v3</x:v>
      </x:c>
      <x:c r="N22" s="4" t="str">
        <x:v>https://github.com/JUNJIE99/MLVU</x:v>
      </x:c>
    </x:row>
    <x:row r="23" ht="66" customHeight="1">
      <x:c r="A23" s="4" t="str">
        <x:v>P02</x:v>
      </x:c>
      <x:c r="B23" s="4" t="str">
        <x:v>实体轨迹与转移账本</x:v>
      </x:c>
      <x:c r="C23" s="4" t="str">
        <x:v>MVBench</x:v>
      </x:c>
      <x:c r="D23" s="4" t="str">
        <x:v>Moving Count</x:v>
      </x:c>
      <x:c r="E23" s="4" t="str">
        <x:v>How many metal objects exit the scene?</x:v>
      </x:c>
      <x:c r="F23" s="4" t="str">
        <x:v>A. 2
B. 3
C. 1
D. 0</x:v>
      </x:c>
      <x:c r="G23" s="4" t="str">
        <x:v>有多少个金属物体离开了画面？</x:v>
      </x:c>
      <x:c r="H23" s="4" t="str">
        <x:v>R4</x:v>
      </x:c>
      <x:c r="I23" s="4" t="str">
        <x:v>R4</x:v>
      </x:c>
      <x:c r="J23" s="4" t="str">
        <x:v>问多少个金属物体离开，是满足运动条件的不同实体数，不是累计exit事件次数。</x:v>
      </x:c>
      <x:c r="K23" s="4" t="str">
        <x:v>论文定义级核对；代表题按工作簿题干分析；未逐题观看视频</x:v>
      </x:c>
      <x:c r="L23" s="4" t="str">
        <x:v>src.mvbench.moving_count</x:v>
      </x:c>
      <x:c r="M23" s="4" t="str">
        <x:v>https://arxiv.org/pdf/2311.17005</x:v>
      </x:c>
      <x:c r="N23" s="4" t="str">
        <x:v>https://huggingface.co/datasets/OpenGVLab/MVBench</x:v>
      </x:c>
    </x:row>
    <x:row r="24" ht="94" customHeight="1">
      <x:c r="A24" s="4" t="str">
        <x:v>P02</x:v>
      </x:c>
      <x:c r="B24" s="4" t="str">
        <x:v>实体轨迹与转移账本</x:v>
      </x:c>
      <x:c r="C24" s="4" t="str">
        <x:v>MVBench</x:v>
      </x:c>
      <x:c r="D24" s="4" t="str">
        <x:v>Moving Direction</x:v>
      </x:c>
      <x:c r="E24" s="4" t="str">
        <x:v>What direction is the cyan sphere moving within the video?</x:v>
      </x:c>
      <x:c r="F24" s="4" t="str">
        <x:v>A. The object is stationary.
B. Up and to the right.
C. Down and to the left.
D. Down and to the right.</x:v>
      </x:c>
      <x:c r="G24" s="4" t="str">
        <x:v>视频中青色球体朝哪个方向移动？</x:v>
      </x:c>
      <x:c r="H24" s="4" t="str">
        <x:v>R2</x:v>
      </x:c>
      <x:c r="I24" s="4" t="str">
        <x:v>R2</x:v>
      </x:c>
      <x:c r="J24" s="4" t="str">
        <x:v>连续位置变化与方向；维护目标身份并处理相机参考系。</x:v>
      </x:c>
      <x:c r="K24" s="4" t="str">
        <x:v>论文定义级核对；代表题按工作簿题干分析；未逐题观看视频</x:v>
      </x:c>
      <x:c r="L24" s="4" t="str">
        <x:v>src.mvbench.moving_direction</x:v>
      </x:c>
      <x:c r="M24" s="4" t="str">
        <x:v>https://arxiv.org/pdf/2311.17005</x:v>
      </x:c>
      <x:c r="N24" s="4" t="str">
        <x:v>https://huggingface.co/datasets/OpenGVLab/MVBench</x:v>
      </x:c>
    </x:row>
    <x:row r="25" ht="94" customHeight="1">
      <x:c r="A25" s="4" t="str">
        <x:v>P02</x:v>
      </x:c>
      <x:c r="B25" s="4" t="str">
        <x:v>实体轨迹与转移账本</x:v>
      </x:c>
      <x:c r="C25" s="4" t="str">
        <x:v>MVBench</x:v>
      </x:c>
      <x:c r="D25" s="4" t="str">
        <x:v>Object Shuffle</x:v>
      </x:c>
      <x:c r="E25" s="4" t="str">
        <x:v>Where is the hidden object at the end of the game from the person's point of view?</x:v>
      </x:c>
      <x:c r="F25" s="4" t="str">
        <x:v>A. Under the first object from the left.
B. Under the third object from the left.
C. Under the second object from the left.</x:v>
      </x:c>
      <x:c r="G25" s="4" t="str">
        <x:v>从这个人的角度来看，游戏结束时隐藏的物体在哪里？</x:v>
      </x:c>
      <x:c r="H25" s="4" t="str">
        <x:v>R2</x:v>
      </x:c>
      <x:c r="I25" s="4" t="str">
        <x:v>R2</x:v>
      </x:c>
      <x:c r="J25" s="4" t="str">
        <x:v>遮挡游戏需传播身份和容器对应；最终截图不足。</x:v>
      </x:c>
      <x:c r="K25" s="4" t="str">
        <x:v>论文定义级核对；代表题按工作簿题干分析；未逐题观看视频</x:v>
      </x:c>
      <x:c r="L25" s="4" t="str">
        <x:v>src.mvbench.object_shuffle</x:v>
      </x:c>
      <x:c r="M25" s="4" t="str">
        <x:v>https://arxiv.org/pdf/2311.17005</x:v>
      </x:c>
      <x:c r="N25" s="4" t="str">
        <x:v>https://huggingface.co/datasets/OpenGVLab/MVBench</x:v>
      </x:c>
    </x:row>
    <x:row r="26" ht="122" customHeight="1">
      <x:c r="A26" s="4" t="str">
        <x:v>P02</x:v>
      </x:c>
      <x:c r="B26" s="4" t="str">
        <x:v>实体轨迹与转移账本</x:v>
      </x:c>
      <x:c r="C26" s="4" t="str">
        <x:v>TOMATO</x:v>
      </x:c>
      <x:c r="D26" s="4" t="str">
        <x:v>Direction</x:v>
      </x:c>
      <x:c r="E26" s="4" t="str">
        <x:v>In which direction(s) did the person's hand move?</x:v>
      </x:c>
      <x:c r="F26" s="4" t="str">
        <x:v>A. Not moving at all
B. Left.
C. Right.
D. First to the right then to the left.
E. First to the left then to the right.</x:v>
      </x:c>
      <x:c r="G26" s="4" t="str">
        <x:v>此人的手朝哪个方向移动？</x:v>
      </x:c>
      <x:c r="H26" s="4" t="str">
        <x:v>R2</x:v>
      </x:c>
      <x:c r="I26" s="4" t="str">
        <x:v>R2</x:v>
      </x:c>
      <x:c r="J26" s="4" t="str">
        <x:v>运动方向由轨迹求得。</x:v>
      </x:c>
      <x:c r="K26" s="4" t="str">
        <x:v>论文定义级核对；代表题按工作簿题干分析；未逐题观看视频</x:v>
      </x:c>
      <x:c r="L26" s="4" t="str">
        <x:v>src.tomato.direction</x:v>
      </x:c>
      <x:c r="M26" s="4" t="str">
        <x:v>https://arxiv.org/html/2410.23266v2</x:v>
      </x:c>
      <x:c r="N26" s="4" t="str">
        <x:v>https://github.com/yale-nlp/TOMATO</x:v>
      </x:c>
    </x:row>
    <x:row r="27" ht="122" customHeight="1">
      <x:c r="A27" s="4" t="str">
        <x:v>P02</x:v>
      </x:c>
      <x:c r="B27" s="4" t="str">
        <x:v>实体轨迹与转移账本</x:v>
      </x:c>
      <x:c r="C27" s="4" t="str">
        <x:v>TOMATO</x:v>
      </x:c>
      <x:c r="D27" s="4" t="str">
        <x:v>Rotation</x:v>
      </x:c>
      <x:c r="E27" s="4" t="str">
        <x:v>Which direction(s) does the person's hand rotate in?</x:v>
      </x:c>
      <x:c r="F27" s="4" t="str">
        <x:v>A. No rotation.
B. Clockwise then counter-clockwise.
C. Counter-clockwise then clockwise.
D. Clockwise throughout.
E. Counter-clockwise throughout.</x:v>
      </x:c>
      <x:c r="G27" s="4" t="str">
        <x:v>此人的手向哪个方向旋转？</x:v>
      </x:c>
      <x:c r="H27" s="4" t="str">
        <x:v>R2</x:v>
      </x:c>
      <x:c r="I27" s="4" t="str">
        <x:v>R2</x:v>
      </x:c>
      <x:c r="J27" s="4" t="str">
        <x:v>旋转方向/反转依赖有序轨迹。</x:v>
      </x:c>
      <x:c r="K27" s="4" t="str">
        <x:v>论文定义级核对；代表题按工作簿题干分析；未逐题观看视频</x:v>
      </x:c>
      <x:c r="L27" s="4" t="str">
        <x:v>src.tomato.rotation</x:v>
      </x:c>
      <x:c r="M27" s="4" t="str">
        <x:v>https://arxiv.org/html/2410.23266v2</x:v>
      </x:c>
      <x:c r="N27" s="4" t="str">
        <x:v>https://github.com/yale-nlp/TOMATO</x:v>
      </x:c>
    </x:row>
    <x:row r="28" ht="122" customHeight="1">
      <x:c r="A28" s="4" t="str">
        <x:v>P02</x:v>
      </x:c>
      <x:c r="B28" s="4" t="str">
        <x:v>实体轨迹与转移账本</x:v>
      </x:c>
      <x:c r="C28" s="4" t="str">
        <x:v>TOMATO</x:v>
      </x:c>
      <x:c r="D28" s="4" t="str">
        <x:v>Shape &amp; Trend</x:v>
      </x:c>
      <x:c r="E28" s="4" t="str">
        <x:v>What is the shape of the object that the person drew in the air?</x:v>
      </x:c>
      <x:c r="F28" s="4" t="str">
        <x:v>A. Trapezoid.
B. Diamond.
C. Square/rectangle.
D. Circle.
E. Triangle.
F. Not drawing at all.</x:v>
      </x:c>
      <x:c r="G28" s="4" t="str">
        <x:v>这个人在空中画的物体是什么形状的？</x:v>
      </x:c>
      <x:c r="H28" s="4" t="str">
        <x:v>R2</x:v>
      </x:c>
      <x:c r="I28" s="4" t="str">
        <x:v>R2</x:v>
      </x:c>
      <x:c r="J28" s="4" t="str">
        <x:v>空中画图的形状来自轨迹，不是静态物体轮廓。</x:v>
      </x:c>
      <x:c r="K28" s="4" t="str">
        <x:v>论文定义级核对；代表题按工作簿题干分析；未逐题观看视频</x:v>
      </x:c>
      <x:c r="L28" s="4" t="str">
        <x:v>src.tomato.shape_trend</x:v>
      </x:c>
      <x:c r="M28" s="4" t="str">
        <x:v>https://arxiv.org/html/2410.23266v2</x:v>
      </x:c>
      <x:c r="N28" s="4" t="str">
        <x:v>https://github.com/yale-nlp/TOMATO</x:v>
      </x:c>
    </x:row>
    <x:row r="29" ht="94" customHeight="1">
      <x:c r="A29" s="4" t="str">
        <x:v>P02</x:v>
      </x:c>
      <x:c r="B29" s="4" t="str">
        <x:v>实体轨迹与转移账本</x:v>
      </x:c>
      <x:c r="C29" s="4" t="str">
        <x:v>TVBench</x:v>
      </x:c>
      <x:c r="D29" s="4" t="str">
        <x:v>Moving Direction</x:v>
      </x:c>
      <x:c r="E29" s="4" t="str">
        <x:v>Which direction does the gray cube move in the video?</x:v>
      </x:c>
      <x:c r="F29" s="4" t="str">
        <x:v>A. Down and to the right.
B. Down and to the left.
C. Up and to the right.
D. Up and to the left.</x:v>
      </x:c>
      <x:c r="G29" s="4" t="str">
        <x:v>灰色立方体在视频中向哪个方向移动？</x:v>
      </x:c>
      <x:c r="H29" s="4" t="str">
        <x:v>R2</x:v>
      </x:c>
      <x:c r="I29" s="4" t="str">
        <x:v>R2</x:v>
      </x:c>
      <x:c r="J29" s="4" t="str">
        <x:v>跨帧轨迹方向辨别。</x:v>
      </x:c>
      <x:c r="K29" s="4" t="str">
        <x:v>原论文模板核对；执行归类为设计建议</x:v>
      </x:c>
      <x:c r="L29" s="4" t="str">
        <x:v>src.tvbench.moving_direction</x:v>
      </x:c>
      <x:c r="M29" s="4" t="str">
        <x:v>https://arxiv.org/html/2410.07752v2</x:v>
      </x:c>
      <x:c r="N29" s="4" t="str">
        <x:v>https://huggingface.co/datasets/FunAILab/TVBench</x:v>
      </x:c>
    </x:row>
    <x:row r="30" ht="94" customHeight="1">
      <x:c r="A30" s="4" t="str">
        <x:v>P02</x:v>
      </x:c>
      <x:c r="B30" s="4" t="str">
        <x:v>实体轨迹与转移账本</x:v>
      </x:c>
      <x:c r="C30" s="4" t="str">
        <x:v>TVBench</x:v>
      </x:c>
      <x:c r="D30" s="4" t="str">
        <x:v>Object Shuffle</x:v>
      </x:c>
      <x:c r="E30" s="4" t="str">
        <x:v>Where is the hidden object at the end of the game from the person's point of view?</x:v>
      </x:c>
      <x:c r="F30" s="4" t="str">
        <x:v>A. Under the third object from the left.
B. Under the second object from the left.
C. Under the first object from the left.</x:v>
      </x:c>
      <x:c r="G30" s="4" t="str">
        <x:v>从这个人的角度来看，游戏结束时隐藏的物体在哪里？</x:v>
      </x:c>
      <x:c r="H30" s="4" t="str">
        <x:v>R2</x:v>
      </x:c>
      <x:c r="I30" s="4" t="str">
        <x:v>R2</x:v>
      </x:c>
      <x:c r="J30" s="4" t="str">
        <x:v>遮挡目标位置需持续身份传播。</x:v>
      </x:c>
      <x:c r="K30" s="4" t="str">
        <x:v>原论文模板核对；执行归类为设计建议</x:v>
      </x:c>
      <x:c r="L30" s="4" t="str">
        <x:v>src.tvbench.object_shuffle</x:v>
      </x:c>
      <x:c r="M30" s="4" t="str">
        <x:v>https://arxiv.org/html/2410.07752v2</x:v>
      </x:c>
      <x:c r="N30" s="4" t="str">
        <x:v>https://huggingface.co/datasets/FunAILab/TVBench</x:v>
      </x:c>
    </x:row>
    <x:row r="31" ht="136" customHeight="1">
      <x:c r="A31" s="4" t="str">
        <x:v>P02</x:v>
      </x:c>
      <x:c r="B31" s="4" t="str">
        <x:v>实体轨迹与转移账本</x:v>
      </x:c>
      <x:c r="C31" s="4" t="str">
        <x:v>Video-MME-v2</x:v>
      </x:c>
      <x:c r="D31" s="4" t="str">
        <x:v>Entity Existence Change Detection</x:v>
      </x:c>
      <x:c r="E31" s="4" t="str">
        <x:v>In the fifth scene, how many birds flew out of view?</x:v>
      </x:c>
      <x:c r="F31" s="4" t="str">
        <x:v>A. 0.
B. 5.
C. 6.
D. 8.
E. 1.
F. 3.
G. 2.
H. 4.</x:v>
      </x:c>
      <x:c r="G31" s="4" t="str">
        <x:v>第五个场景，有多少只鸟儿飞出视野？</x:v>
      </x:c>
      <x:c r="H31" s="4" t="str">
        <x:v>R4</x:v>
      </x:c>
      <x:c r="I31" s="4" t="str">
        <x:v>R2 | R3 | R4</x:v>
      </x:c>
      <x:c r="J31" s="4" t="str">
        <x:v>代表题问多少只鸟飞出视野，计数单位为鸟的实例，R4并调用追踪；问同一鸟飞出几次则R3；仅问实体进出变化则R2。</x:v>
      </x:c>
      <x:c r="K31" s="4" t="str">
        <x:v>论文定义级核对；代表题按工作簿题干分析；未逐题观看视频</x:v>
      </x:c>
      <x:c r="L31" s="4" t="str">
        <x:v>src.video_mme_v2.entity_existence_change_detection</x:v>
      </x:c>
      <x:c r="M31" s="4" t="str">
        <x:v>https://arxiv.org/pdf/2604.05015</x:v>
      </x:c>
      <x:c r="N31" s="4" t="str">
        <x:v>https://huggingface.co/datasets/MME-Benchmarks/Video-MME-v2</x:v>
      </x:c>
    </x:row>
    <x:row r="32" ht="178" customHeight="1">
      <x:c r="A32" s="4" t="str">
        <x:v>P02</x:v>
      </x:c>
      <x:c r="B32" s="4" t="str">
        <x:v>实体轨迹与转移账本</x:v>
      </x:c>
      <x:c r="C32" s="4" t="str">
        <x:v>Video-MME-v2</x:v>
      </x:c>
      <x:c r="D32" s="4" t="str">
        <x:v>Entity Persistence Tracking</x:v>
      </x:c>
      <x:c r="E32" s="4" t="str">
        <x:v>The host performed a total of two shell swaps (defining a single swap as an instance where all shells return to an approximately straight line). Underneath which shell was the ball located after the first swap?</x:v>
      </x:c>
      <x:c r="F32" s="4" t="str">
        <x:v>A. There is no ball under any shell.
B. The seventh shell.
C. The fourth shell.
D. The fifth shell.
E. The sixth shell.
F. The second shell.
G. The third shell.
H. The first shell.</x:v>
      </x:c>
      <x:c r="G32" s="4" t="str">
        <x:v>主持人总共进行了两次壳体交换（一次交换定义为所有壳体重新大致排成一条直线）。第一次交换后，球位于哪个壳体下面？</x:v>
      </x:c>
      <x:c r="H32" s="4" t="str">
        <x:v>R2</x:v>
      </x:c>
      <x:c r="I32" s="4" t="str">
        <x:v>R2</x:v>
      </x:c>
      <x:c r="J32" s="4" t="str">
        <x:v>杯壳交换期间维持目标身份并处理遮挡；不能用彼此无关的静态帧识别代替。</x:v>
      </x:c>
      <x:c r="K32" s="4" t="str">
        <x:v>论文定义级核对；代表题按工作簿题干分析；未逐题观看视频</x:v>
      </x:c>
      <x:c r="L32" s="4" t="str">
        <x:v>src.video_mme_v2.entity_persistence_tracking</x:v>
      </x:c>
      <x:c r="M32" s="4" t="str">
        <x:v>https://arxiv.org/pdf/2604.05015</x:v>
      </x:c>
      <x:c r="N32" s="4" t="str">
        <x:v>https://huggingface.co/datasets/MME-Benchmarks/Video-MME-v2</x:v>
      </x:c>
    </x:row>
    <x:row r="33" ht="178" customHeight="1">
      <x:c r="A33" s="4" t="str">
        <x:v>P02</x:v>
      </x:c>
      <x:c r="B33" s="4" t="str">
        <x:v>实体轨迹与转移账本</x:v>
      </x:c>
      <x:c r="C33" s="4" t="str">
        <x:v>Video-MME-v2</x:v>
      </x:c>
      <x:c r="D33" s="4" t="str">
        <x:v>Fine-Grained Action Recognition</x:v>
      </x:c>
      <x:c r="E33" s="4" t="str">
        <x:v>How did Harry Wilson complete the dribble?</x:v>
      </x:c>
      <x:c r="F33" s="4" t="str">
        <x:v>A. Knock-and-run.
B. La Croqueta.
C. Reverse Elastico.
D. Outside of the foot one-two pass.
E. Elastico.
F. Rainbow flick.
G. Step over.
H. Marseille Turn.</x:v>
      </x:c>
      <x:c r="G33" s="4" t="str">
        <x:v>Harry Wilson是如何完成运球的？</x:v>
      </x:c>
      <x:c r="H33" s="4" t="str">
        <x:v>R2</x:v>
      </x:c>
      <x:c r="I33" s="4" t="str">
        <x:v>R2</x:v>
      </x:c>
      <x:c r="J33" s="4" t="str">
        <x:v>过人动作需要细粒度连续运动证据；不能把整类并入单帧局部识别。</x:v>
      </x:c>
      <x:c r="K33" s="4" t="str">
        <x:v>论文定义级核对；代表题按工作簿题干分析；未逐题观看视频</x:v>
      </x:c>
      <x:c r="L33" s="4" t="str">
        <x:v>src.video_mme_v2.fine_grained_action_recognition</x:v>
      </x:c>
      <x:c r="M33" s="4" t="str">
        <x:v>https://arxiv.org/pdf/2604.05015</x:v>
      </x:c>
      <x:c r="N33" s="4" t="str">
        <x:v>https://huggingface.co/datasets/MME-Benchmarks/Video-MME-v2</x:v>
      </x:c>
    </x:row>
    <x:row r="34" ht="400" customHeight="1">
      <x:c r="A34" s="4" t="str">
        <x:v>P02</x:v>
      </x:c>
      <x:c r="B34" s="4" t="str">
        <x:v>实体轨迹与转移账本</x:v>
      </x:c>
      <x:c r="C34" s="4" t="str">
        <x:v>Video-MME-v2</x:v>
      </x:c>
      <x:c r="D34" s="4" t="str">
        <x:v>Motion Properties Analysis</x:v>
      </x:c>
      <x:c r="E34" s="4" t="str">
        <x:v>How does the foot-raising amplitude change when the host demonstrates before introducing his video?</x:v>
      </x:c>
      <x:c r="F34" s="4" t="str">
        <x:v>A. Medium amplitude at first, then amplitude suddenly decreases, finally transitions to large amplitude.
B. Maintains high leg-raising high amplitude throughout, no obvious changes.
C. Medium amplitude at first, maintains this medium amplitude throughout the jumping, only changing step direction.
D. Large amplitude at first, suddenly transitions to ground-touching jumps (no amplitude) in the middle, then back to large amplitude.
E. Almost no amplitude at first, then linearly slowly increases until reaching maximum amplitude at the end of demonstration.
F. Small amplitude throughout, mainly relying on rapid foot frequency changes.
G. Large amplitude at first, then gradually decreases, finally becoming almost no amplitude.
H. Almost no amplitude at first, then maintains high amplitude, then transitions to medium amplitude.</x:v>
      </x:c>
      <x:c r="G34" s="4" t="str">
        <x:v>主持人在介绍视频前进行示范时，抬脚幅度如何变化？</x:v>
      </x:c>
      <x:c r="H34" s="4" t="str">
        <x:v>R2</x:v>
      </x:c>
      <x:c r="I34" s="4" t="str">
        <x:v>R2</x:v>
      </x:c>
      <x:c r="J34" s="4" t="str">
        <x:v>抬脚幅度随时间如何变化需要运动状态序列；不一定存在周期。</x:v>
      </x:c>
      <x:c r="K34" s="4" t="str">
        <x:v>论文定义级核对；代表题按工作簿题干分析；未逐题观看视频</x:v>
      </x:c>
      <x:c r="L34" s="4" t="str">
        <x:v>src.video_mme_v2.motion_properties_analysis</x:v>
      </x:c>
      <x:c r="M34" s="4" t="str">
        <x:v>https://arxiv.org/pdf/2604.05015</x:v>
      </x:c>
      <x:c r="N34" s="4" t="str">
        <x:v>https://huggingface.co/datasets/MME-Benchmarks/Video-MME-v2</x:v>
      </x:c>
    </x:row>
    <x:row r="35" ht="164" customHeight="1">
      <x:c r="A35" s="4" t="str">
        <x:v>P02</x:v>
      </x:c>
      <x:c r="B35" s="4" t="str">
        <x:v>实体轨迹与转移账本</x:v>
      </x:c>
      <x:c r="C35" s="4" t="str">
        <x:v>Video-MME-v2</x:v>
      </x:c>
      <x:c r="D35" s="4" t="str">
        <x:v>Motion Trajectory Estimation</x:v>
      </x:c>
      <x:c r="E35" s="4" t="str">
        <x:v>In the match between OVTCHAROV and HARIMOTO, during the 10th and 11th strokes of the rally, what was the ball's spin type?</x:v>
      </x:c>
      <x:c r="F35" s="4" t="str">
        <x:v>A. Top–side spin.
B. Reverse topspin.
C. No obvious spin.
D. Light backspin.
E. Topspin.
F. Side–backspin.
G. Pure sidespin.
H. Backspin.</x:v>
      </x:c>
      <x:c r="G35" s="4" t="str">
        <x:v>在 OVTCHAROV 与 HARIMOTO 的比赛中，该回合第 10 板和第 11 板时，球分别是什么旋转类型？</x:v>
      </x:c>
      <x:c r="H35" s="4" t="str">
        <x:v>R2</x:v>
      </x:c>
      <x:c r="I35" s="4" t="str">
        <x:v>R2</x:v>
      </x:c>
      <x:c r="J35" s="4" t="str">
        <x:v>第10、11板球的旋转需要先定位回合再分析运动轨迹。论文Table 4也出现Motion Trajectory Formation命名；不改官方数据标签。</x:v>
      </x:c>
      <x:c r="K35" s="4" t="str">
        <x:v>论文定义级核对；代表题按工作簿题干分析；未逐题观看视频</x:v>
      </x:c>
      <x:c r="L35" s="4" t="str">
        <x:v>src.video_mme_v2.motion_trajectory_estimation</x:v>
      </x:c>
      <x:c r="M35" s="4" t="str">
        <x:v>https://arxiv.org/pdf/2604.05015</x:v>
      </x:c>
      <x:c r="N35" s="4" t="str">
        <x:v>https://huggingface.co/datasets/MME-Benchmarks/Video-MME-v2</x:v>
      </x:c>
    </x:row>
    <x:row r="36" ht="80" customHeight="1">
      <x:c r="A36" s="4" t="str">
        <x:v>P03</x:v>
      </x:c>
      <x:c r="B36" s="4" t="str">
        <x:v>周期、频率与相位模型</x:v>
      </x:c>
      <x:c r="C36" s="4" t="str">
        <x:v>TOMATO</x:v>
      </x:c>
      <x:c r="D36" s="4" t="str">
        <x:v>Velocity &amp; Frequency</x:v>
      </x:c>
      <x:c r="E36" s="4" t="str">
        <x:v>What is the pattern of the person's hand's rotation speed?</x:v>
      </x:c>
      <x:c r="F36" s="4" t="str">
        <x:v>A. Decelerating.
B. Constant speed.
C. Accelerating.
D. Not moving at all.</x:v>
      </x:c>
      <x:c r="G36" s="4" t="str">
        <x:v>这个人的手部旋转速度呈现什么变化模式？</x:v>
      </x:c>
      <x:c r="H36" s="4" t="str">
        <x:v>R2</x:v>
      </x:c>
      <x:c r="I36" s="4" t="str">
        <x:v>R2</x:v>
      </x:c>
      <x:c r="J36" s="4" t="str">
        <x:v>加减速与频率模式共享时间序列；不是每道题都具有周期性。</x:v>
      </x:c>
      <x:c r="K36" s="4" t="str">
        <x:v>论文定义级核对；代表题按工作簿题干分析；未逐题观看视频</x:v>
      </x:c>
      <x:c r="L36" s="4" t="str">
        <x:v>src.tomato.velocity_frequency</x:v>
      </x:c>
      <x:c r="M36" s="4" t="str">
        <x:v>https://arxiv.org/html/2410.23266v2</x:v>
      </x:c>
      <x:c r="N36" s="4" t="str">
        <x:v>https://github.com/yale-nlp/TOMATO</x:v>
      </x:c>
    </x:row>
    <x:row r="37" ht="388" customHeight="1">
      <x:c r="A37" s="4" t="str">
        <x:v>P03</x:v>
      </x:c>
      <x:c r="B37" s="4" t="str">
        <x:v>周期、频率与相位模型</x:v>
      </x:c>
      <x:c r="C37" s="4" t="str">
        <x:v>Video-MME-v2</x:v>
      </x:c>
      <x:c r="D37" s="4" t="str">
        <x:v>Temporal Periodicity Detection</x:v>
      </x:c>
      <x:c r="E37" s="4" t="str">
        <x:v>When the subtitle "Think about drawing the big circles with your arms" appears and this set of movements is completed, assuming the demonstrator wants to continue doing this set of movements, from the demonstrator's perspective, what movement is he most likely doing next?</x:v>
      </x:c>
      <x:c r="F37" s="4" t="str">
        <x:v>A. Raising both arms above the head and swinging them up and down, as if doing a jump rope motion.
B. Drawing big circles inward with both arms.
C. Keeping arms straight, swinging them back and forth along the sides of the body.
D. Extending both arms forward horizontally then slowly lowering them to the sides of the body.
E. Crossing both arms in front of the chest, then opening them horizontally to both sides while expanding the chest, feeling the stretch in the chest and front of the shoulders.
F. Placing both hands on the waist, remaining still, only doing deep breathing.
G. Bending the elbows, placing both hands on the shoulders, doing shoulder circling movements.
H. Drawing big circles outward with both arms.</x:v>
      </x:c>
      <x:c r="G37" s="4" t="str">
        <x:v>当字幕“Think about drawing the big circles with your arms”出现并且这组动作完成后，假设演示者想继续重复这组动作，从演示者自身视角看，他下一步最可能做什么动作？</x:v>
      </x:c>
      <x:c r="H37" s="4" t="str">
        <x:v>R2</x:v>
      </x:c>
      <x:c r="I37" s="4" t="str">
        <x:v>R2 | R7</x:v>
      </x:c>
      <x:c r="J37" s="4" t="str">
        <x:v>周期动作中的下一相位可由已观察轨迹延续，主R2；开放式未来行为预测才R7。不能见到next一词就归预测。</x:v>
      </x:c>
      <x:c r="K37" s="4" t="str">
        <x:v>论文定义级核对；代表题按工作簿题干分析；未逐题观看视频</x:v>
      </x:c>
      <x:c r="L37" s="4" t="str">
        <x:v>src.video_mme_v2.temporal_periodicity_detection</x:v>
      </x:c>
      <x:c r="M37" s="4" t="str">
        <x:v>https://arxiv.org/pdf/2604.05015</x:v>
      </x:c>
      <x:c r="N37" s="4" t="str">
        <x:v>https://huggingface.co/datasets/MME-Benchmarks/Video-MME-v2</x:v>
      </x:c>
    </x:row>
    <x:row r="38" ht="276" customHeight="1">
      <x:c r="A38" s="4" t="str">
        <x:v>P04</x:v>
      </x:c>
      <x:c r="B38" s="4" t="str">
        <x:v>自我中心方向积分</x:v>
      </x:c>
      <x:c r="C38" s="4" t="str">
        <x:v>Video-MME-v2</x:v>
      </x:c>
      <x:c r="D38" s="4" t="str">
        <x:v>Spatial Understanding</x:v>
      </x:c>
      <x:c r="E38" s="4" t="str">
        <x:v>In the first target-chasing game, what were the facing directions upon completing the first and second target-chasing tasks, respectively, relative to the initial orientation?</x:v>
      </x:c>
      <x:c r="F38" s="4" t="str">
        <x:v>A. Largely unchanged; largely unchanged.
B. Approximately 90° to the right; largely unchanged.
C. Approximately 180° (facing opposite); largely unchanged.
D. Approximately 45° to the right; largely unchanged.
E. Largely unchanged; approximately 90° to the right.
F. Approximately 90° to the right; approximately 90° to the right.
G. Approximately 90° to the left; approximately 180° (facing opposite).
H. Approximately 90° to the left; largely unchanged.</x:v>
      </x:c>
      <x:c r="G38" s="4" t="str">
        <x:v>在第一个目标追逐游戏中，相对于初始方向，分别完成第一个和第二个目标追逐任务时的面对方向是什么？</x:v>
      </x:c>
      <x:c r="H38" s="4" t="str">
        <x:v>R9</x:v>
      </x:c>
      <x:c r="I38" s="4" t="str">
        <x:v>R1 | R9</x:v>
      </x:c>
      <x:c r="J38" s="4" t="str">
        <x:v>追逐后朝向相对初始方向需统一参考系并更新方向状态；屏幕中直接左右可R1。</x:v>
      </x:c>
      <x:c r="K38" s="4" t="str">
        <x:v>论文定义级核对；代表题按工作簿题干分析；未逐题观看视频</x:v>
      </x:c>
      <x:c r="L38" s="4" t="str">
        <x:v>src.video_mme_v2.spatial_understanding</x:v>
      </x:c>
      <x:c r="M38" s="4" t="str">
        <x:v>https://arxiv.org/pdf/2604.05015</x:v>
      </x:c>
      <x:c r="N38" s="4" t="str">
        <x:v>https://huggingface.co/datasets/MME-Benchmarks/Video-MME-v2</x:v>
      </x:c>
    </x:row>
    <x:row r="39" ht="122" customHeight="1">
      <x:c r="A39" s="4" t="str">
        <x:v>P04</x:v>
      </x:c>
      <x:c r="B39" s="4" t="str">
        <x:v>自我中心方向积分</x:v>
      </x:c>
      <x:c r="C39" s="4" t="str">
        <x:v>VSI-Bench</x:v>
      </x:c>
      <x:c r="D39" s="4" t="str">
        <x:v>Relative Direction</x:v>
      </x:c>
      <x:c r="E39" s="4" t="str">
        <x:v>If I am standing by the stove and facing the sofa, is the tv to my front-left, front-right, back-left, or back-right?
The directions refer to the quadrants of a Cartesian plane (if I am standing at the origin and facing along the positive y-axis).</x:v>
      </x:c>
      <x:c r="F39" s="4" t="str">
        <x:v>A. front-left
B. back-right
C. back-left
D. front-right</x:v>
      </x:c>
      <x:c r="G39" s="4" t="str">
        <x:v>如果我站在炉灶旁，面对沙发，电视是左前方、右前方、左后方还是右后方？
方向是指笛卡尔平面的象限（如果我站在原点并沿正y轴面向）。</x:v>
      </x:c>
      <x:c r="H39" s="4" t="str">
        <x:v>R9</x:v>
      </x:c>
      <x:c r="I39" s="4" t="str">
        <x:v>R9</x:v>
      </x:c>
      <x:c r="J39" s="4" t="str">
        <x:v>站炉灶面向沙发判断电视方位，是物体定义的参考系变换，不要求沿相机轨迹积分；按题目排除边界方向等定义作答。</x:v>
      </x:c>
      <x:c r="K39" s="4" t="str">
        <x:v>论文定义级核对；代表题按工作簿题干分析；未逐题观看视频</x:v>
      </x:c>
      <x:c r="L39" s="4" t="str">
        <x:v>src.vsi_bench.relative_direction</x:v>
      </x:c>
      <x:c r="M39" s="4" t="str">
        <x:v>https://arxiv.org/pdf/2412.14171</x:v>
      </x:c>
      <x:c r="N39" s="4" t="str">
        <x:v>https://huggingface.co/datasets/nyu-visionx/VSI-Bench</x:v>
      </x:c>
    </x:row>
    <x:row r="40" ht="66" customHeight="1">
      <x:c r="A40" s="4" t="str">
        <x:v>P05</x:v>
      </x:c>
      <x:c r="B40" s="4" t="str">
        <x:v>自适应事件次数计数</x:v>
      </x:c>
      <x:c r="C40" s="4" t="str">
        <x:v>MLVU</x:v>
      </x:c>
      <x:c r="D40" s="4" t="str">
        <x:v>Action Count</x:v>
      </x:c>
      <x:c r="E40" s="4" t="str">
        <x:v>How many times does the action of 'carving a pumpkin' occur in this video?</x:v>
      </x:c>
      <x:c r="F40" s="4" t="str">
        <x:v>A. 0
B. 2
C. 4
D. 6</x:v>
      </x:c>
      <x:c r="G40" s="4" t="str">
        <x:v>此视频中“雕刻南瓜”的动作出现了多少次？</x:v>
      </x:c>
      <x:c r="H40" s="4" t="str">
        <x:v>R3</x:v>
      </x:c>
      <x:c r="I40" s="4" t="str">
        <x:v>R3</x:v>
      </x:c>
      <x:c r="J40" s="4" t="str">
        <x:v>统计插入目标动作的独立occurrence；跨窗口去重。</x:v>
      </x:c>
      <x:c r="K40" s="4" t="str">
        <x:v>论文定义级核对；代表题按工作簿题干分析；未逐题观看视频</x:v>
      </x:c>
      <x:c r="L40" s="4" t="str">
        <x:v>src.mlvu.ac</x:v>
      </x:c>
      <x:c r="M40" s="4" t="str">
        <x:v>https://arxiv.org/html/2406.04264v3</x:v>
      </x:c>
      <x:c r="N40" s="4" t="str">
        <x:v>https://github.com/JUNJIE99/MLVU</x:v>
      </x:c>
    </x:row>
    <x:row r="41" ht="52" customHeight="1">
      <x:c r="A41" s="4" t="str">
        <x:v>P05</x:v>
      </x:c>
      <x:c r="B41" s="4" t="str">
        <x:v>自适应事件次数计数</x:v>
      </x:c>
      <x:c r="C41" s="4" t="str">
        <x:v>MVBench</x:v>
      </x:c>
      <x:c r="D41" s="4" t="str">
        <x:v>Action Count</x:v>
      </x:c>
      <x:c r="E41" s="4" t="str">
        <x:v>How many times did the person launch objects on the table?</x:v>
      </x:c>
      <x:c r="F41" s="4" t="str">
        <x:v>A. 3
B. 2
C. 4</x:v>
      </x:c>
      <x:c r="G41" s="4" t="str">
        <x:v>这个人在桌子上发射了多少次物体？</x:v>
      </x:c>
      <x:c r="H41" s="4" t="str">
        <x:v>R3</x:v>
      </x:c>
      <x:c r="I41" s="4" t="str">
        <x:v>R3</x:v>
      </x:c>
      <x:c r="J41" s="4" t="str">
        <x:v>计数目标动作的发生次数；不是动作种类数。</x:v>
      </x:c>
      <x:c r="K41" s="4" t="str">
        <x:v>论文定义级核对；代表题按工作簿题干分析；未逐题观看视频</x:v>
      </x:c>
      <x:c r="L41" s="4" t="str">
        <x:v>src.mvbench.action_count</x:v>
      </x:c>
      <x:c r="M41" s="4" t="str">
        <x:v>https://arxiv.org/pdf/2311.17005</x:v>
      </x:c>
      <x:c r="N41" s="4" t="str">
        <x:v>https://huggingface.co/datasets/OpenGVLab/MVBench</x:v>
      </x:c>
    </x:row>
    <x:row r="42" ht="94" customHeight="1">
      <x:c r="A42" s="4" t="str">
        <x:v>P05</x:v>
      </x:c>
      <x:c r="B42" s="4" t="str">
        <x:v>自适应事件次数计数</x:v>
      </x:c>
      <x:c r="C42" s="4" t="str">
        <x:v>TOMATO</x:v>
      </x:c>
      <x:c r="D42" s="4" t="str">
        <x:v>Action Count</x:v>
      </x:c>
      <x:c r="E42" s="4" t="str">
        <x:v>How many trapezoid(s) does the person draw in the air throughout the entire video?</x:v>
      </x:c>
      <x:c r="F42" s="4" t="str">
        <x:v>A. 2
B. 1
C. 3
D. 4
E. 5
F. 0</x:v>
      </x:c>
      <x:c r="G42" s="4" t="str">
        <x:v>在整个视频中，该人在空中画了多少个梯形？</x:v>
      </x:c>
      <x:c r="H42" s="4" t="str">
        <x:v>R3</x:v>
      </x:c>
      <x:c r="I42" s="4" t="str">
        <x:v>R3</x:v>
      </x:c>
      <x:c r="J42" s="4" t="str">
        <x:v>空中画梯形的次数为完整轨迹事件数；轨迹识别是必要组件，账本防跨窗双计。</x:v>
      </x:c>
      <x:c r="K42" s="4" t="str">
        <x:v>论文定义级核对；代表题按工作簿题干分析；未逐题观看视频</x:v>
      </x:c>
      <x:c r="L42" s="4" t="str">
        <x:v>src.tomato.action_count</x:v>
      </x:c>
      <x:c r="M42" s="4" t="str">
        <x:v>https://arxiv.org/html/2410.23266v2</x:v>
      </x:c>
      <x:c r="N42" s="4" t="str">
        <x:v>https://github.com/yale-nlp/TOMATO</x:v>
      </x:c>
    </x:row>
    <x:row r="43" ht="94" customHeight="1">
      <x:c r="A43" s="4" t="str">
        <x:v>P05</x:v>
      </x:c>
      <x:c r="B43" s="4" t="str">
        <x:v>自适应事件次数计数</x:v>
      </x:c>
      <x:c r="C43" s="4" t="str">
        <x:v>Video-MME</x:v>
      </x:c>
      <x:c r="D43" s="4" t="str">
        <x:v>Counting Problem</x:v>
      </x:c>
      <x:c r="E43" s="4" t="str">
        <x:v>When demonstrating the Germany modern Christmas tree is initially decorated with apples, candles and berries, which kind of the decoration has the largest number?</x:v>
      </x:c>
      <x:c r="F43" s="4" t="str">
        <x:v>A. Apples.
B. Candles.
C. Berries.
D. The three kinds are of the same number.</x:v>
      </x:c>
      <x:c r="G43" s="4" t="str">
        <x:v>在展示德国现代圣诞树时，最初装饰的是苹果、蜡烛和浆果，哪种装饰数量最多？</x:v>
      </x:c>
      <x:c r="H43" s="4" t="str">
        <x:v>R4</x:v>
      </x:c>
      <x:c r="I43" s="4" t="str">
        <x:v>R1 | R3 | R4</x:v>
      </x:c>
      <x:c r="J43" s="4" t="str">
        <x:v>装饰物哪类最多需各类实例清单及比较；重复动作次数走R3，视频直接报出一个数量且仅问该事实时可R1。先固定计数单位。</x:v>
      </x:c>
      <x:c r="K43" s="4" t="str">
        <x:v>论文定义级核对；代表题按工作簿题干分析；未逐题观看视频</x:v>
      </x:c>
      <x:c r="L43" s="4" t="str">
        <x:v>src.video_mme.counting_problem</x:v>
      </x:c>
      <x:c r="M43" s="4" t="str">
        <x:v>https://arxiv.org/html/2405.21075v3</x:v>
      </x:c>
      <x:c r="N43" s="4" t="str">
        <x:v>https://huggingface.co/datasets/lmms-eval/Video-MME</x:v>
      </x:c>
    </x:row>
    <x:row r="44" ht="136" customHeight="1">
      <x:c r="A44" s="4" t="str">
        <x:v>P05</x:v>
      </x:c>
      <x:c r="B44" s="4" t="str">
        <x:v>自适应事件次数计数</x:v>
      </x:c>
      <x:c r="C44" s="4" t="str">
        <x:v>Video-MME-v2</x:v>
      </x:c>
      <x:c r="D44" s="4" t="str">
        <x:v>Basic Counting</x:v>
      </x:c>
      <x:c r="E44" s="4" t="str">
        <x:v>Within the first 15 seconds of the Green Level challenge, how many times in total did the man water the flowers?</x:v>
      </x:c>
      <x:c r="F44" s="4" t="str">
        <x:v>A. 4.
B. 1.
C. 7.
D. 2.
E. 0.
F. 5.
G. 6.
H. 3.</x:v>
      </x:c>
      <x:c r="G44" s="4" t="str">
        <x:v>在绿色关卡挑战的前15秒内，男人总共给花浇了多少次水？</x:v>
      </x:c>
      <x:c r="H44" s="4" t="str">
        <x:v>R3</x:v>
      </x:c>
      <x:c r="I44" s="4" t="str">
        <x:v>R3 | R4</x:v>
      </x:c>
      <x:c r="J44" s="4" t="str">
        <x:v>论文Table 4将Basic Counting描述为静态、顺序无关计数，但官方002-1浇花次数与004-1货运车厢数量同标此类。前者R3事件次数，后者R4实例数；保留官方标签，增设执行子型。</x:v>
      </x:c>
      <x:c r="K44" s="4" t="str">
        <x:v>论文定义级核对；代表题按工作簿题干分析；未逐题观看视频</x:v>
      </x:c>
      <x:c r="L44" s="4" t="str">
        <x:v>src.video_mme_v2.basic_counting</x:v>
      </x:c>
      <x:c r="M44" s="4" t="str">
        <x:v>https://arxiv.org/pdf/2604.05015</x:v>
      </x:c>
      <x:c r="N44" s="4" t="str">
        <x:v>https://huggingface.co/datasets/MME-Benchmarks/Video-MME-v2</x:v>
      </x:c>
    </x:row>
    <x:row r="45" ht="136" customHeight="1">
      <x:c r="A45" s="4" t="str">
        <x:v>P05</x:v>
      </x:c>
      <x:c r="B45" s="4" t="str">
        <x:v>自适应事件次数计数</x:v>
      </x:c>
      <x:c r="C45" s="4" t="str">
        <x:v>Video-MME-v2</x:v>
      </x:c>
      <x:c r="D45" s="4" t="str">
        <x:v>Repetitive Action Counting</x:v>
      </x:c>
      <x:c r="E45" s="4" t="str">
        <x:v>How many times did the video demonstrate the action corresponding to "soda pop" when teaching Section 1?</x:v>
      </x:c>
      <x:c r="F45" s="4" t="str">
        <x:v>A. 3.
B. 5.
C. 2.
D. 4.
E. 6.
F. 7.
G. 1.
H. 8.</x:v>
      </x:c>
      <x:c r="G45" s="4" t="str">
        <x:v>在讲授第 1 节时，视频演示了多少次与“Soda Pop”对应的动作？</x:v>
      </x:c>
      <x:c r="H45" s="4" t="str">
        <x:v>R3</x:v>
      </x:c>
      <x:c r="I45" s="4" t="str">
        <x:v>R3</x:v>
      </x:c>
      <x:c r="J45" s="4" t="str">
        <x:v>数soda pop对应动作完成了几次，需要独立occurrence边界与窗口去重。</x:v>
      </x:c>
      <x:c r="K45" s="4" t="str">
        <x:v>论文定义级核对；代表题按工作簿题干分析；未逐题观看视频</x:v>
      </x:c>
      <x:c r="L45" s="4" t="str">
        <x:v>src.video_mme_v2.repetitive_action_counting</x:v>
      </x:c>
      <x:c r="M45" s="4" t="str">
        <x:v>https://arxiv.org/pdf/2604.05015</x:v>
      </x:c>
      <x:c r="N45" s="4" t="str">
        <x:v>https://huggingface.co/datasets/MME-Benchmarks/Video-MME-v2</x:v>
      </x:c>
    </x:row>
    <x:row r="46" ht="80" customHeight="1">
      <x:c r="A46" s="4" t="str">
        <x:v>P06</x:v>
      </x:c>
      <x:c r="B46" s="4" t="str">
        <x:v>锚点窗口操作</x:v>
      </x:c>
      <x:c r="C46" s="4" t="str">
        <x:v>LongVideoBench</x:v>
      </x:c>
      <x:c r="D46" s="4" t="str">
        <x:v>Event before/after Event</x:v>
      </x:c>
      <x:c r="E46" s="4" t="str">
        <x:v>A long-haired woman is leaning against the curtain. What action does she do afterward?</x:v>
      </x:c>
      <x:c r="F46" s="4" t="str">
        <x:v>A. Turn her head
B. Nod
C. Stand up
D. Wave her hand</x:v>
      </x:c>
      <x:c r="G46" s="4" t="str">
        <x:v>一位长发女士靠在窗帘上。之后她会采取什么行动？</x:v>
      </x:c>
      <x:c r="H46" s="4" t="str">
        <x:v>R3</x:v>
      </x:c>
      <x:c r="I46" s="4" t="str">
        <x:v>R1 | R3</x:v>
      </x:c>
      <x:c r="J46" s="4" t="str">
        <x:v>锚定事件后找紧接动作；主任务是时间邻接，不是新增锚点大类。</x:v>
      </x:c>
      <x:c r="K46" s="4" t="str">
        <x:v>论文定义级核对；代表题按工作簿题干分析；未逐题观看视频</x:v>
      </x:c>
      <x:c r="L46" s="4" t="str">
        <x:v>src.longvideobench.e3e</x:v>
      </x:c>
      <x:c r="M46" s="4" t="str">
        <x:v>https://arxiv.org/pdf/2407.15754</x:v>
      </x:c>
      <x:c r="N46" s="4" t="str">
        <x:v>https://huggingface.co/datasets/longvideobench/LongVideoBench</x:v>
      </x:c>
    </x:row>
    <x:row r="47" ht="136" customHeight="1">
      <x:c r="A47" s="4" t="str">
        <x:v>P06</x:v>
      </x:c>
      <x:c r="B47" s="4" t="str">
        <x:v>锚点窗口操作</x:v>
      </x:c>
      <x:c r="C47" s="4" t="str">
        <x:v>LongVideoBench</x:v>
      </x:c>
      <x:c r="D47" s="4" t="str">
        <x:v>Event before/after Text</x:v>
      </x:c>
      <x:c r="E47" s="4" t="str">
        <x:v>What happened before a man in black armor and glasses spoke into a microphone with the subtitle 'country uh so we've seen significant'?</x:v>
      </x:c>
      <x:c r="F47" s="4" t="str">
        <x:v>A. A black-haired girl shook a wine glass.
B. A woman in pink stood on a ladder.
C. A red-haired girl shook a wine glass.
D. A person opened a wine-bottle cap.
E. A car drove on grass.</x:v>
      </x:c>
      <x:c r="G47" s="4" t="str">
        <x:v>在字幕显示“country uh so we've seen significant”时，一名身穿黑色盔甲、戴眼镜的男子对着麦克风说话。在此之前发生了什么？</x:v>
      </x:c>
      <x:c r="H47" s="4" t="str">
        <x:v>R3</x:v>
      </x:c>
      <x:c r="I47" s="4" t="str">
        <x:v>R1 | R3</x:v>
      </x:c>
      <x:c r="J47" s="4" t="str">
        <x:v>字幕/说话事件为锚点，检索其之前事件，保留事件边界。</x:v>
      </x:c>
      <x:c r="K47" s="4" t="str">
        <x:v>论文定义级核对；代表题按工作簿题干分析；未逐题观看视频</x:v>
      </x:c>
      <x:c r="L47" s="4" t="str">
        <x:v>src.longvideobench.t3e</x:v>
      </x:c>
      <x:c r="M47" s="4" t="str">
        <x:v>https://arxiv.org/pdf/2407.15754</x:v>
      </x:c>
      <x:c r="N47" s="4" t="str">
        <x:v>https://huggingface.co/datasets/longvideobench/LongVideoBench</x:v>
      </x:c>
    </x:row>
    <x:row r="48" ht="136" customHeight="1">
      <x:c r="A48" s="4" t="str">
        <x:v>P06</x:v>
      </x:c>
      <x:c r="B48" s="4" t="str">
        <x:v>锚点窗口操作</x:v>
      </x:c>
      <x:c r="C48" s="4" t="str">
        <x:v>LongVideoBench</x:v>
      </x:c>
      <x:c r="D48" s="4" t="str">
        <x:v>Event-referred Object</x:v>
      </x:c>
      <x:c r="E48" s="4" t="str">
        <x:v>Who is the person standing in front of the wall with several rectangular maps, talking to the camera?</x:v>
      </x:c>
      <x:c r="F48" s="4" t="str">
        <x:v>A. A man wearing a green shirt
B. A man wearing a red shirt
C. A man wearing a multicolored shirt
D. A man wearing a black shirt
E. A man wearing a purple shirt</x:v>
      </x:c>
      <x:c r="G48" s="4" t="str">
        <x:v>站在一面挂有数张矩形地图的墙前、对着镜头说话的人是谁？</x:v>
      </x:c>
      <x:c r="H48" s="4" t="str">
        <x:v>R1</x:v>
      </x:c>
      <x:c r="I48" s="4" t="str">
        <x:v>R1</x:v>
      </x:c>
      <x:c r="J48" s="4" t="str">
        <x:v>事件描述定位后认人，不需独立锚点pipeline。</x:v>
      </x:c>
      <x:c r="K48" s="4" t="str">
        <x:v>论文定义级核对；代表题按工作簿题干分析；未逐题观看视频</x:v>
      </x:c>
      <x:c r="L48" s="4" t="str">
        <x:v>src.longvideobench.e2o</x:v>
      </x:c>
      <x:c r="M48" s="4" t="str">
        <x:v>https://arxiv.org/pdf/2407.15754</x:v>
      </x:c>
      <x:c r="N48" s="4" t="str">
        <x:v>https://huggingface.co/datasets/longvideobench/LongVideoBench</x:v>
      </x:c>
    </x:row>
    <x:row r="49" ht="108" customHeight="1">
      <x:c r="A49" s="4" t="str">
        <x:v>P06</x:v>
      </x:c>
      <x:c r="B49" s="4" t="str">
        <x:v>锚点窗口操作</x:v>
      </x:c>
      <x:c r="C49" s="4" t="str">
        <x:v>LongVideoBench</x:v>
      </x:c>
      <x:c r="D49" s="4" t="str">
        <x:v>Object before/after Object</x:v>
      </x:c>
      <x:c r="E49" s="4" t="str">
        <x:v>What is the first concept mentioned after the man in a black shirt and cap talks about evolution?</x:v>
      </x:c>
      <x:c r="F49" s="4" t="str">
        <x:v>A. Human evolution differences
B. Animal fossilization
C. Vertebrate
D. Plant fossilization
E. Mythical creature</x:v>
      </x:c>
      <x:c r="G49" s="4" t="str">
        <x:v>身穿黑色衬衫和帽子的男人谈论进化之后，提到的第一个概念是什么？</x:v>
      </x:c>
      <x:c r="H49" s="4" t="str">
        <x:v>R3</x:v>
      </x:c>
      <x:c r="I49" s="4" t="str">
        <x:v>R1 | R3</x:v>
      </x:c>
      <x:c r="J49" s="4" t="str">
        <x:v>first after要求按时间选首个概念；内容定位与时序选择分开。</x:v>
      </x:c>
      <x:c r="K49" s="4" t="str">
        <x:v>论文定义级核对；代表题按工作簿题干分析；未逐题观看视频</x:v>
      </x:c>
      <x:c r="L49" s="4" t="str">
        <x:v>src.longvideobench.o3o</x:v>
      </x:c>
      <x:c r="M49" s="4" t="str">
        <x:v>https://arxiv.org/pdf/2407.15754</x:v>
      </x:c>
      <x:c r="N49" s="4" t="str">
        <x:v>https://huggingface.co/datasets/longvideobench/LongVideoBench</x:v>
      </x:c>
    </x:row>
    <x:row r="50" ht="108" customHeight="1">
      <x:c r="A50" s="4" t="str">
        <x:v>P06</x:v>
      </x:c>
      <x:c r="B50" s="4" t="str">
        <x:v>锚点窗口操作</x:v>
      </x:c>
      <x:c r="C50" s="4" t="str">
        <x:v>LongVideoBench</x:v>
      </x:c>
      <x:c r="D50" s="4" t="str">
        <x:v>Object before/after Text</x:v>
      </x:c>
      <x:c r="E50" s="4" t="str">
        <x:v>In a picture with a microscope, after the subtitle 'After completing a study about prehistoric insects' appears, what person appears?</x:v>
      </x:c>
      <x:c r="F50" s="4" t="str">
        <x:v>A. A man in a yellow shirt
B. A man wearing glasses and smiling slightly
C. A man in a green shirt
D. A woman wearing glasses</x:v>
      </x:c>
      <x:c r="G50" s="4" t="str">
        <x:v>在带有显微镜的画面中，字幕“After completing a study about prehistoric insects”出现后，哪一类人物出现了？</x:v>
      </x:c>
      <x:c r="H50" s="4" t="str">
        <x:v>R3</x:v>
      </x:c>
      <x:c r="I50" s="4" t="str">
        <x:v>R1 | R3</x:v>
      </x:c>
      <x:c r="J50" s="4" t="str">
        <x:v>字幕时间后出现的人物需要时间关系选择。</x:v>
      </x:c>
      <x:c r="K50" s="4" t="str">
        <x:v>论文定义级核对；代表题按工作簿题干分析；未逐题观看视频</x:v>
      </x:c>
      <x:c r="L50" s="4" t="str">
        <x:v>src.longvideobench.t3o</x:v>
      </x:c>
      <x:c r="M50" s="4" t="str">
        <x:v>https://arxiv.org/pdf/2407.15754</x:v>
      </x:c>
      <x:c r="N50" s="4" t="str">
        <x:v>https://huggingface.co/datasets/longvideobench/LongVideoBench</x:v>
      </x:c>
    </x:row>
    <x:row r="51" ht="150" customHeight="1">
      <x:c r="A51" s="4" t="str">
        <x:v>P06</x:v>
      </x:c>
      <x:c r="B51" s="4" t="str">
        <x:v>锚点窗口操作</x:v>
      </x:c>
      <x:c r="C51" s="4" t="str">
        <x:v>LongVideoBench</x:v>
      </x:c>
      <x:c r="D51" s="4" t="str">
        <x:v>Object-referred Event</x:v>
      </x:c>
      <x:c r="E51" s="4" t="str">
        <x:v>On flat ground there is a brick-wall building, a car with an open trunk, and a police officer with a police dog. What happened when the police dog appeared?</x:v>
      </x:c>
      <x:c r="F51" s="4" t="str">
        <x:v>A. The police dog bit a tire.
B. The police officer drove away.
C. The police dog smelled the brick wall.
D. The police dog jumped into the car's trunk.
E. The police officer closed the car's trunk.</x:v>
      </x:c>
      <x:c r="G51" s="4" t="str">
        <x:v>平地上有一栋砖墙建筑、一辆敞开后备箱的汽车和一名携带警犬的警察。警犬出现时发生了什么？</x:v>
      </x:c>
      <x:c r="H51" s="4" t="str">
        <x:v>R1</x:v>
      </x:c>
      <x:c r="I51" s="4" t="str">
        <x:v>R1</x:v>
      </x:c>
      <x:c r="J51" s="4" t="str">
        <x:v>由物体/场景线索定位，然后读取该时刻事件。</x:v>
      </x:c>
      <x:c r="K51" s="4" t="str">
        <x:v>论文定义级核对；代表题按工作簿题干分析；未逐题观看视频</x:v>
      </x:c>
      <x:c r="L51" s="4" t="str">
        <x:v>src.longvideobench.o2e</x:v>
      </x:c>
      <x:c r="M51" s="4" t="str">
        <x:v>https://arxiv.org/pdf/2407.15754</x:v>
      </x:c>
      <x:c r="N51" s="4" t="str">
        <x:v>https://huggingface.co/datasets/longvideobench/LongVideoBench</x:v>
      </x:c>
    </x:row>
    <x:row r="52" ht="108" customHeight="1">
      <x:c r="A52" s="4" t="str">
        <x:v>P06</x:v>
      </x:c>
      <x:c r="B52" s="4" t="str">
        <x:v>锚点窗口操作</x:v>
      </x:c>
      <x:c r="C52" s="4" t="str">
        <x:v>LongVideoBench</x:v>
      </x:c>
      <x:c r="D52" s="4" t="str">
        <x:v>Scene-referred Event</x:v>
      </x:c>
      <x:c r="E52" s="4" t="str">
        <x:v>In the scene where the words 'wanna make a meaningful connection' are written at the top left, a man with long curly hair wears a black outfit with a white heart pattern. What is this man doing?</x:v>
      </x:c>
      <x:c r="F52" s="4" t="str">
        <x:v>A. Dancing
B. Playing on a computer
C. Listening to music
D. Watching TV
E. Looking at a phone</x:v>
      </x:c>
      <x:c r="G52" s="4" t="str">
        <x:v>在左上角写有“wanna make a meaningful connection”的场景中，一名长卷发男子穿着带白色心形图案的黑色衣服。他正在做什么？</x:v>
      </x:c>
      <x:c r="H52" s="4" t="str">
        <x:v>R1</x:v>
      </x:c>
      <x:c r="I52" s="4" t="str">
        <x:v>R1</x:v>
      </x:c>
      <x:c r="J52" s="4" t="str">
        <x:v>场景/OCR作为检索条件；目标是一个可观察动作。</x:v>
      </x:c>
      <x:c r="K52" s="4" t="str">
        <x:v>论文定义级核对；代表题按工作簿题干分析；未逐题观看视频</x:v>
      </x:c>
      <x:c r="L52" s="4" t="str">
        <x:v>src.longvideobench.s2e</x:v>
      </x:c>
      <x:c r="M52" s="4" t="str">
        <x:v>https://arxiv.org/pdf/2407.15754</x:v>
      </x:c>
      <x:c r="N52" s="4" t="str">
        <x:v>https://huggingface.co/datasets/longvideobench/LongVideoBench</x:v>
      </x:c>
    </x:row>
    <x:row r="53" ht="94" customHeight="1">
      <x:c r="A53" s="4" t="str">
        <x:v>P06</x:v>
      </x:c>
      <x:c r="B53" s="4" t="str">
        <x:v>锚点窗口操作</x:v>
      </x:c>
      <x:c r="C53" s="4" t="str">
        <x:v>LongVideoBench</x:v>
      </x:c>
      <x:c r="D53" s="4" t="str">
        <x:v>Scene-referred Object Attribute</x:v>
      </x:c>
      <x:c r="E53" s="4" t="str">
        <x:v>In the oil painting, men discuss at the back left; at front right women stir liquid in a bucket. What color is the liquid inside the bucket?</x:v>
      </x:c>
      <x:c r="F53" s="4" t="str">
        <x:v>A. Yellow
B. White
C. Red
D. Black
E. Blue</x:v>
      </x:c>
      <x:c r="G53" s="4" t="str">
        <x:v>在这幅油画中，男子们在左后方交谈，女子们在右前方搅拌桶中的液体。桶里的液体是什么颜色？</x:v>
      </x:c>
      <x:c r="H53" s="4" t="str">
        <x:v>R1</x:v>
      </x:c>
      <x:c r="I53" s="4" t="str">
        <x:v>R1</x:v>
      </x:c>
      <x:c r="J53" s="4" t="str">
        <x:v>在指定场景读取属性；不是空间计算。</x:v>
      </x:c>
      <x:c r="K53" s="4" t="str">
        <x:v>论文定义级核对；代表题按工作簿题干分析；未逐题观看视频</x:v>
      </x:c>
      <x:c r="L53" s="4" t="str">
        <x:v>src.longvideobench.s2a</x:v>
      </x:c>
      <x:c r="M53" s="4" t="str">
        <x:v>https://arxiv.org/pdf/2407.15754</x:v>
      </x:c>
      <x:c r="N53" s="4" t="str">
        <x:v>https://huggingface.co/datasets/longvideobench/LongVideoBench</x:v>
      </x:c>
    </x:row>
    <x:row r="54" ht="94" customHeight="1">
      <x:c r="A54" s="4" t="str">
        <x:v>P06</x:v>
      </x:c>
      <x:c r="B54" s="4" t="str">
        <x:v>锚点窗口操作</x:v>
      </x:c>
      <x:c r="C54" s="4" t="str">
        <x:v>LongVideoBench</x:v>
      </x:c>
      <x:c r="D54" s="4" t="str">
        <x:v>Scene-referred Object Attribute Change</x:v>
      </x:c>
      <x:c r="E54" s="4" t="str">
        <x:v>A woman in purple sits against a white wall while explaining a formula and later summarizes the video. How does the wall color change?</x:v>
      </x:c>
      <x:c r="F54" s="4" t="str">
        <x:v>A. White turns to blue
B. White turns to purple
C. White turns to green
D. White turns to black</x:v>
      </x:c>
      <x:c r="G54" s="4" t="str">
        <x:v>一名穿紫色衣服的女子靠着白墙讲解公式，之后又对视频作总结。墙壁的颜色发生了怎样的变化？</x:v>
      </x:c>
      <x:c r="H54" s="4" t="str">
        <x:v>R2</x:v>
      </x:c>
      <x:c r="I54" s="4" t="str">
        <x:v>R2</x:v>
      </x:c>
      <x:c r="J54" s="4" t="str">
        <x:v>同一对象跨场景属性变化：可以只比两个证据窗口，不强制逐帧密集追踪。</x:v>
      </x:c>
      <x:c r="K54" s="4" t="str">
        <x:v>论文定义级核对；代表题按工作簿题干分析；未逐题观看视频</x:v>
      </x:c>
      <x:c r="L54" s="4" t="str">
        <x:v>src.longvideobench.saa</x:v>
      </x:c>
      <x:c r="M54" s="4" t="str">
        <x:v>https://arxiv.org/pdf/2407.15754</x:v>
      </x:c>
      <x:c r="N54" s="4" t="str">
        <x:v>https://huggingface.co/datasets/longvideobench/LongVideoBench</x:v>
      </x:c>
    </x:row>
    <x:row r="55" ht="108" customHeight="1">
      <x:c r="A55" s="4" t="str">
        <x:v>P06</x:v>
      </x:c>
      <x:c r="B55" s="4" t="str">
        <x:v>锚点窗口操作</x:v>
      </x:c>
      <x:c r="C55" s="4" t="str">
        <x:v>LongVideoBench</x:v>
      </x:c>
      <x:c r="D55" s="4" t="str">
        <x:v>Text-referred Event</x:v>
      </x:c>
      <x:c r="E55" s="4" t="str">
        <x:v>What did the Yoda baby with big black eyes do when the subtitle said, 'to obtain any information about the Yoda baby's owner'?</x:v>
      </x:c>
      <x:c r="F55" s="4" t="str">
        <x:v>A. Raised one ear
B. Raised both ears
C. Blinked its eyes
D. Ran on the ground
E. Walked on the ground</x:v>
      </x:c>
      <x:c r="G55" s="4" t="str">
        <x:v>字幕显示“to obtain any information about the Yoda baby's owner”时，那个有着黑色大眼睛的尤达宝宝做了什么？</x:v>
      </x:c>
      <x:c r="H55" s="4" t="str">
        <x:v>R1</x:v>
      </x:c>
      <x:c r="I55" s="4" t="str">
        <x:v>R1</x:v>
      </x:c>
      <x:c r="J55" s="4" t="str">
        <x:v>字幕定位后查看同步事件。</x:v>
      </x:c>
      <x:c r="K55" s="4" t="str">
        <x:v>论文定义级核对；代表题按工作簿题干分析；未逐题观看视频</x:v>
      </x:c>
      <x:c r="L55" s="4" t="str">
        <x:v>src.longvideobench.t2e</x:v>
      </x:c>
      <x:c r="M55" s="4" t="str">
        <x:v>https://arxiv.org/pdf/2407.15754</x:v>
      </x:c>
      <x:c r="N55" s="4" t="str">
        <x:v>https://huggingface.co/datasets/longvideobench/LongVideoBench</x:v>
      </x:c>
    </x:row>
    <x:row r="56" ht="108" customHeight="1">
      <x:c r="A56" s="4" t="str">
        <x:v>P06</x:v>
      </x:c>
      <x:c r="B56" s="4" t="str">
        <x:v>锚点窗口操作</x:v>
      </x:c>
      <x:c r="C56" s="4" t="str">
        <x:v>LongVideoBench</x:v>
      </x:c>
      <x:c r="D56" s="4" t="str">
        <x:v>Text-referred Object</x:v>
      </x:c>
      <x:c r="E56" s="4" t="str">
        <x:v>In a room with instruments and control panels, when the subtitle 'think you'll see this technology be used' appears, what object is present?</x:v>
      </x:c>
      <x:c r="F56" s="4" t="str">
        <x:v>A. a gold chain
B. a red button
C. a white button
D. a black remote
E. a black steering wheel</x:v>
      </x:c>
      <x:c r="G56" s="4" t="str">
        <x:v>在有仪器和控制面板的房间里，当字幕显示“think you'll see this technology be used”时，画面中有什么物体？</x:v>
      </x:c>
      <x:c r="H56" s="4" t="str">
        <x:v>R1</x:v>
      </x:c>
      <x:c r="I56" s="4" t="str">
        <x:v>R1</x:v>
      </x:c>
      <x:c r="J56" s="4" t="str">
        <x:v>字幕定位后识别同期物体。</x:v>
      </x:c>
      <x:c r="K56" s="4" t="str">
        <x:v>论文定义级核对；代表题按工作簿题干分析；未逐题观看视频</x:v>
      </x:c>
      <x:c r="L56" s="4" t="str">
        <x:v>src.longvideobench.t2o</x:v>
      </x:c>
      <x:c r="M56" s="4" t="str">
        <x:v>https://arxiv.org/pdf/2407.15754</x:v>
      </x:c>
      <x:c r="N56" s="4" t="str">
        <x:v>https://huggingface.co/datasets/longvideobench/LongVideoBench</x:v>
      </x:c>
    </x:row>
    <x:row r="57" ht="94" customHeight="1">
      <x:c r="A57" s="4" t="str">
        <x:v>P06</x:v>
      </x:c>
      <x:c r="B57" s="4" t="str">
        <x:v>锚点窗口操作</x:v>
      </x:c>
      <x:c r="C57" s="4" t="str">
        <x:v>LongVideoBench</x:v>
      </x:c>
      <x:c r="D57" s="4" t="str">
        <x:v>Text-referred Object Attribute</x:v>
      </x:c>
      <x:c r="E57" s="4" t="str">
        <x:v>A woman in the driver's seat, wearing blue jeans and a high ponytail, is mentioned in the subtitles 'really in depth car videos like those'. What color top was she wearing?</x:v>
      </x:c>
      <x:c r="F57" s="4" t="str">
        <x:v>A. Purple
B. White
C. Blue
D. Black
E. Green</x:v>
      </x:c>
      <x:c r="G57" s="4" t="str">
        <x:v>字幕提到“really in depth car videos like those”时，驾驶座上的女子穿着蓝色牛仔裤、扎着高马尾。她的上衣是什么颜色？</x:v>
      </x:c>
      <x:c r="H57" s="4" t="str">
        <x:v>R1</x:v>
      </x:c>
      <x:c r="I57" s="4" t="str">
        <x:v>R1</x:v>
      </x:c>
      <x:c r="J57" s="4" t="str">
        <x:v>字幕定位后读取穿着属性。</x:v>
      </x:c>
      <x:c r="K57" s="4" t="str">
        <x:v>论文定义级核对；代表题按工作簿题干分析；未逐题观看视频</x:v>
      </x:c>
      <x:c r="L57" s="4" t="str">
        <x:v>src.longvideobench.t2a</x:v>
      </x:c>
      <x:c r="M57" s="4" t="str">
        <x:v>https://arxiv.org/pdf/2407.15754</x:v>
      </x:c>
      <x:c r="N57" s="4" t="str">
        <x:v>https://huggingface.co/datasets/longvideobench/LongVideoBench</x:v>
      </x:c>
    </x:row>
    <x:row r="58" ht="122" customHeight="1">
      <x:c r="A58" s="4" t="str">
        <x:v>P06</x:v>
      </x:c>
      <x:c r="B58" s="4" t="str">
        <x:v>锚点窗口操作</x:v>
      </x:c>
      <x:c r="C58" s="4" t="str">
        <x:v>LongVideoBench</x:v>
      </x:c>
      <x:c r="D58" s="4" t="str">
        <x:v>Text-referred Object Attribute Change</x:v>
      </x:c>
      <x:c r="E58" s="4" t="str">
        <x:v>Amid thick black smoke, yellow flames erupt. When they appear with the subtitle 'forth basaltic magma from the mantle in', what change occurs to the flames?</x:v>
      </x:c>
      <x:c r="F58" s="4" t="str">
        <x:v>A. It extinguishes.
B. Its color changes to blue.
C. Its color changes to orange.
D. Its color changes to red.
E. Its color changes to purple.</x:v>
      </x:c>
      <x:c r="G58" s="4" t="str">
        <x:v>浓密的黑烟中冒出黄色火焰。当画面配有字幕“forth basaltic magma from the mantle in”时，火焰发生了什么变化？</x:v>
      </x:c>
      <x:c r="H58" s="4" t="str">
        <x:v>R2</x:v>
      </x:c>
      <x:c r="I58" s="4" t="str">
        <x:v>R2</x:v>
      </x:c>
      <x:c r="J58" s="4" t="str">
        <x:v>指定字幕附近的火焰变化依赖有序多帧；不是单属性读取。</x:v>
      </x:c>
      <x:c r="K58" s="4" t="str">
        <x:v>论文定义级核对；代表题按工作簿题干分析；未逐题观看视频</x:v>
      </x:c>
      <x:c r="L58" s="4" t="str">
        <x:v>src.longvideobench.taa</x:v>
      </x:c>
      <x:c r="M58" s="4" t="str">
        <x:v>https://arxiv.org/pdf/2407.15754</x:v>
      </x:c>
      <x:c r="N58" s="4" t="str">
        <x:v>https://huggingface.co/datasets/longvideobench/LongVideoBench</x:v>
      </x:c>
    </x:row>
    <x:row r="59" ht="318" customHeight="1">
      <x:c r="A59" s="4" t="str">
        <x:v>P06</x:v>
      </x:c>
      <x:c r="B59" s="4" t="str">
        <x:v>锚点窗口操作</x:v>
      </x:c>
      <x:c r="C59" s="4" t="str">
        <x:v>LVBench</x:v>
      </x:c>
      <x:c r="D59" s="4" t="str">
        <x:v>Summarization</x:v>
      </x:c>
      <x:c r="E59" s="4" t="str">
        <x:v>After the man with the gun threatens the cook, what does the protagonist do?</x:v>
      </x:c>
      <x:c r="F59" s="4" t="str">
        <x:v>A. The protagonist pushes the table aside and stands up, confronting the man. After a series of quarrels, she kills the man and leaves the restaurant. The chef follows her
B. The protagonist pushes the table aside and stands up, confronting the man. After a series of quarrels, she injuries  the man and leaves the restaurant. The chef follows her
C. The protagonist pushes the table aside and stands up, taking out her gun and pointing at the man. After a series of quarrels, she kills the man and leaves the restaurant. The chef follows her
D. The protagonist pushes the table aside and stands up, taking out her gun and pointing at the man. After a series of quarrels, she kills the man and leaves the restaurant</x:v>
      </x:c>
      <x:c r="G59" s="4" t="str">
        <x:v>拿枪的人威胁厨师后，主角怎么办？</x:v>
      </x:c>
      <x:c r="H59" s="4" t="str">
        <x:v>R1</x:v>
      </x:c>
      <x:c r="I59" s="4" t="str">
        <x:v>R1 | R5 | R6</x:v>
      </x:c>
      <x:c r="J59" s="4" t="str">
        <x:v>原生总括定义以R5为主；表内示例只问威胁之后主角做什么，更像锚点后局部事件，不证明P10/P11都必要。</x:v>
      </x:c>
      <x:c r="K59" s="4" t="str">
        <x:v>论文定义级核对；代表题按工作簿题干分析；未逐题观看视频</x:v>
      </x:c>
      <x:c r="L59" s="4" t="str">
        <x:v>src.lvbench.summarization</x:v>
      </x:c>
      <x:c r="M59" s="4" t="str">
        <x:v>https://arxiv.org/html/2406.08035v3</x:v>
      </x:c>
      <x:c r="N59" s="4" t="str">
        <x:v>https://github.com/zai-org/LVBench</x:v>
      </x:c>
    </x:row>
    <x:row r="60" ht="94" customHeight="1">
      <x:c r="A60" s="4" t="str">
        <x:v>P06</x:v>
      </x:c>
      <x:c r="B60" s="4" t="str">
        <x:v>锚点窗口操作</x:v>
      </x:c>
      <x:c r="C60" s="4" t="str">
        <x:v>MVBench</x:v>
      </x:c>
      <x:c r="D60" s="4" t="str">
        <x:v>Action Sequence</x:v>
      </x:c>
      <x:c r="E60" s="4" t="str">
        <x:v>What happened after the person took the food?</x:v>
      </x:c>
      <x:c r="F60" s="4" t="str">
        <x:v>A. Ate the medicine.
B. Tidied up the blanket.
C. Put down the cup/glass/bottle.
D. Took the box.</x:v>
      </x:c>
      <x:c r="G60" s="4" t="str">
        <x:v>这个人拿走食物之后发生了什么？</x:v>
      </x:c>
      <x:c r="H60" s="4" t="str">
        <x:v>R3</x:v>
      </x:c>
      <x:c r="I60" s="4" t="str">
        <x:v>R1 | R3</x:v>
      </x:c>
      <x:c r="J60" s="4" t="str">
        <x:v>先找取食物锚点，再查询后继事件。</x:v>
      </x:c>
      <x:c r="K60" s="4" t="str">
        <x:v>论文定义级核对；代表题按工作簿题干分析；未逐题观看视频</x:v>
      </x:c>
      <x:c r="L60" s="4" t="str">
        <x:v>src.mvbench.action_sequence</x:v>
      </x:c>
      <x:c r="M60" s="4" t="str">
        <x:v>https://arxiv.org/pdf/2311.17005</x:v>
      </x:c>
      <x:c r="N60" s="4" t="str">
        <x:v>https://huggingface.co/datasets/OpenGVLab/MVBench</x:v>
      </x:c>
    </x:row>
    <x:row r="61" ht="122" customHeight="1">
      <x:c r="A61" s="4" t="str">
        <x:v>P06</x:v>
      </x:c>
      <x:c r="B61" s="4" t="str">
        <x:v>锚点窗口操作</x:v>
      </x:c>
      <x:c r="C61" s="4" t="str">
        <x:v>MVBench</x:v>
      </x:c>
      <x:c r="D61" s="4" t="str">
        <x:v>Scene Transition</x:v>
      </x:c>
      <x:c r="E61" s="4" t="str">
        <x:v>What's the right option for how the scenes in the video change?</x:v>
      </x:c>
      <x:c r="F61" s="4" t="str">
        <x:v>A. From the reception desk to the conference room.
B. From the kitchen to the dining area.
C. From the server room to the control center.
D. From the classroom to the library.</x:v>
      </x:c>
      <x:c r="G61" s="4" t="str">
        <x:v>对于视频中的场景如何变化，正确的选择是什么？</x:v>
      </x:c>
      <x:c r="H61" s="4" t="str">
        <x:v>R3</x:v>
      </x:c>
      <x:c r="I61" s="4" t="str">
        <x:v>R2 | R3</x:v>
      </x:c>
      <x:c r="J61" s="4" t="str">
        <x:v>比较视频场景按时间的转移；同一场景属性改变才是R2。</x:v>
      </x:c>
      <x:c r="K61" s="4" t="str">
        <x:v>论文定义级核对；代表题按工作簿题干分析；未逐题观看视频</x:v>
      </x:c>
      <x:c r="L61" s="4" t="str">
        <x:v>src.mvbench.scene_transition</x:v>
      </x:c>
      <x:c r="M61" s="4" t="str">
        <x:v>https://arxiv.org/pdf/2311.17005</x:v>
      </x:c>
      <x:c r="N61" s="4" t="str">
        <x:v>https://huggingface.co/datasets/OpenGVLab/MVBench</x:v>
      </x:c>
    </x:row>
    <x:row r="62" ht="52" customHeight="1">
      <x:c r="A62" s="4" t="str">
        <x:v>P06</x:v>
      </x:c>
      <x:c r="B62" s="4" t="str">
        <x:v>锚点窗口操作</x:v>
      </x:c>
      <x:c r="C62" s="4" t="str">
        <x:v>MVBench</x:v>
      </x:c>
      <x:c r="D62" s="4" t="str">
        <x:v>State Change</x:v>
      </x:c>
      <x:c r="E62" s="4" t="str">
        <x:v>Is the lighting device on at any point?</x:v>
      </x:c>
      <x:c r="F62" s="4" t="str">
        <x:v>A. yes
B. I don't know
C. no</x:v>
      </x:c>
      <x:c r="G62" s="4" t="str">
        <x:v>照明设备是否曾在任何时刻开启？</x:v>
      </x:c>
      <x:c r="H62" s="4" t="str">
        <x:v>R1</x:v>
      </x:c>
      <x:c r="I62" s="4" t="str">
        <x:v>R1 | R2 | R4</x:v>
      </x:c>
      <x:c r="J62" s="4" t="str">
        <x:v>原定义是状态改变；表内on at any point是状态存在性，正例只需证据，负例需覆盖。</x:v>
      </x:c>
      <x:c r="K62" s="4" t="str">
        <x:v>论文定义级核对；代表题按工作簿题干分析；未逐题观看视频</x:v>
      </x:c>
      <x:c r="L62" s="4" t="str">
        <x:v>src.mvbench.state_change</x:v>
      </x:c>
      <x:c r="M62" s="4" t="str">
        <x:v>https://arxiv.org/pdf/2311.17005</x:v>
      </x:c>
      <x:c r="N62" s="4" t="str">
        <x:v>https://huggingface.co/datasets/OpenGVLab/MVBench</x:v>
      </x:c>
    </x:row>
    <x:row r="63" ht="52" customHeight="1">
      <x:c r="A63" s="4" t="str">
        <x:v>P06</x:v>
      </x:c>
      <x:c r="B63" s="4" t="str">
        <x:v>锚点窗口操作</x:v>
      </x:c>
      <x:c r="C63" s="4" t="str">
        <x:v>TVBench</x:v>
      </x:c>
      <x:c r="D63" s="4" t="str">
        <x:v>Action Sequence</x:v>
      </x:c>
      <x:c r="E63" s="4" t="str">
        <x:v>What did the person do first?</x:v>
      </x:c>
      <x:c r="F63" s="4" t="str">
        <x:v>A. Action 1 observed in the video
B. Action 2 observed in the video</x:v>
      </x:c>
      <x:c r="G63" s="4" t="str">
        <x:v>此人首先做了什么？</x:v>
      </x:c>
      <x:c r="H63" s="4" t="str">
        <x:v>R3</x:v>
      </x:c>
      <x:c r="I63" s="4" t="str">
        <x:v>R3</x:v>
      </x:c>
      <x:c r="J63" s="4" t="str">
        <x:v>first要求事件时间排序。</x:v>
      </x:c>
      <x:c r="K63" s="4" t="str">
        <x:v>原论文模板核对；执行归类为设计建议</x:v>
      </x:c>
      <x:c r="L63" s="4" t="str">
        <x:v>src.tvbench.action_sequence</x:v>
      </x:c>
      <x:c r="M63" s="4" t="str">
        <x:v>https://arxiv.org/html/2410.07752v2</x:v>
      </x:c>
      <x:c r="N63" s="4" t="str">
        <x:v>https://huggingface.co/datasets/FunAILab/TVBench</x:v>
      </x:c>
    </x:row>
    <x:row r="64" ht="52" customHeight="1">
      <x:c r="A64" s="4" t="str">
        <x:v>P06</x:v>
      </x:c>
      <x:c r="B64" s="4" t="str">
        <x:v>锚点窗口操作</x:v>
      </x:c>
      <x:c r="C64" s="4" t="str">
        <x:v>TVBench</x:v>
      </x:c>
      <x:c r="D64" s="4" t="str">
        <x:v>Scene Transition</x:v>
      </x:c>
      <x:c r="E64" s="4" t="str">
        <x:v>What's the right option for how the scenes in the video change?</x:v>
      </x:c>
      <x:c r="F64" s="4" t="str">
        <x:v>A. From scene 1 to scene 2.
B. From scene 2 to scene 1.</x:v>
      </x:c>
      <x:c r="G64" s="4" t="str">
        <x:v>对于视频中的场景如何变化，正确的选择是什么？</x:v>
      </x:c>
      <x:c r="H64" s="4" t="str">
        <x:v>R3</x:v>
      </x:c>
      <x:c r="I64" s="4" t="str">
        <x:v>R3</x:v>
      </x:c>
      <x:c r="J64" s="4" t="str">
        <x:v>场景转换序列，不是一个通用锚点窗口类别。</x:v>
      </x:c>
      <x:c r="K64" s="4" t="str">
        <x:v>原论文模板核对；执行归类为设计建议</x:v>
      </x:c>
      <x:c r="L64" s="4" t="str">
        <x:v>src.tvbench.scene_transition</x:v>
      </x:c>
      <x:c r="M64" s="4" t="str">
        <x:v>https://arxiv.org/html/2410.07752v2</x:v>
      </x:c>
      <x:c r="N64" s="4" t="str">
        <x:v>https://huggingface.co/datasets/FunAILab/TVBench</x:v>
      </x:c>
    </x:row>
    <x:row r="65" ht="108" customHeight="1">
      <x:c r="A65" s="4" t="str">
        <x:v>P06</x:v>
      </x:c>
      <x:c r="B65" s="4" t="str">
        <x:v>锚点窗口操作</x:v>
      </x:c>
      <x:c r="C65" s="4" t="str">
        <x:v>Video-MME</x:v>
      </x:c>
      <x:c r="D65" s="4" t="str">
        <x:v>Action Recognition</x:v>
      </x:c>
      <x:c r="E65" s="4" t="str">
        <x:v>What is special about the celebration in New York according to the video?</x:v>
      </x:c>
      <x:c r="F65" s="4" t="str">
        <x:v>A. Hosting large parades.
B. Dressing in green and dyeing the river to green.
C. Drinking a lot.
D. Planting shamrocks.</x:v>
      </x:c>
      <x:c r="G65" s="4" t="str">
        <x:v>根据视频，纽约的庆祝活动有什么特别之处？</x:v>
      </x:c>
      <x:c r="H65" s="4" t="str">
        <x:v>R1</x:v>
      </x:c>
      <x:c r="I65" s="4" t="str">
        <x:v>R1 | R2</x:v>
      </x:c>
      <x:c r="J65" s="4" t="str">
        <x:v>识别一次庆祝行为通常是局部事件取证；需动作方向、细粒度过程或区分逆序动作的子题改R2。</x:v>
      </x:c>
      <x:c r="K65" s="4" t="str">
        <x:v>论文定义级核对；代表题按工作簿题干分析；未逐题观看视频</x:v>
      </x:c>
      <x:c r="L65" s="4" t="str">
        <x:v>src.video_mme.action_recognition</x:v>
      </x:c>
      <x:c r="M65" s="4" t="str">
        <x:v>https://arxiv.org/html/2405.21075v3</x:v>
      </x:c>
      <x:c r="N65" s="4" t="str">
        <x:v>https://huggingface.co/datasets/lmms-eval/Video-MME</x:v>
      </x:c>
    </x:row>
    <x:row r="66" ht="122" customHeight="1">
      <x:c r="A66" s="4" t="str">
        <x:v>P06</x:v>
      </x:c>
      <x:c r="B66" s="4" t="str">
        <x:v>锚点窗口操作</x:v>
      </x:c>
      <x:c r="C66" s="4" t="str">
        <x:v>Video-MME</x:v>
      </x:c>
      <x:c r="D66" s="4" t="str">
        <x:v>Attribute Perception</x:v>
      </x:c>
      <x:c r="E66" s="4" t="str">
        <x:v>Which of the following options is incorrect regarding the events in Sarajevo depicted in the video?</x:v>
      </x:c>
      <x:c r="F66" s="4" t="str">
        <x:v>A. It was organized by the Black Hand in Serbia.
B. Ferdinand was sitting on the left side of the car.
C. Ferdinand was wearing a white hat.
D. The killer was wearing black suit.</x:v>
      </x:c>
      <x:c r="G66" s="4" t="str">
        <x:v>关于视频所描述的萨拉热窝事件，以下哪个选项是不正确的？</x:v>
      </x:c>
      <x:c r="H66" s="4" t="str">
        <x:v>R6</x:v>
      </x:c>
      <x:c r="I66" s="4" t="str">
        <x:v>R1 | R4 | R6</x:v>
      </x:c>
      <x:c r="J66" s="4" t="str">
        <x:v>代表题是跨陈述判断哪项不正确，需要逐项证据核验；单一属性读取走R1，穷举属性/缺失项走R4。</x:v>
      </x:c>
      <x:c r="K66" s="4" t="str">
        <x:v>论文定义级核对；代表题按工作簿题干分析；未逐题观看视频</x:v>
      </x:c>
      <x:c r="L66" s="4" t="str">
        <x:v>src.video_mme.attribute_perception</x:v>
      </x:c>
      <x:c r="M66" s="4" t="str">
        <x:v>https://arxiv.org/html/2405.21075v3</x:v>
      </x:c>
      <x:c r="N66" s="4" t="str">
        <x:v>https://huggingface.co/datasets/lmms-eval/Video-MME</x:v>
      </x:c>
    </x:row>
    <x:row r="67" ht="80" customHeight="1">
      <x:c r="A67" s="4" t="str">
        <x:v>P06</x:v>
      </x:c>
      <x:c r="B67" s="4" t="str">
        <x:v>锚点窗口操作</x:v>
      </x:c>
      <x:c r="C67" s="4" t="str">
        <x:v>Video-MME</x:v>
      </x:c>
      <x:c r="D67" s="4" t="str">
        <x:v>Temporal Perception</x:v>
      </x:c>
      <x:c r="E67" s="4" t="str">
        <x:v>According to the video, which of the following is considered the earliest stage of human evolution?</x:v>
      </x:c>
      <x:c r="F67" s="4" t="str">
        <x:v>A. Ramapithecus.
B. Dryopithecus.
C. Ardipithecus Ramidus.
D. Homo Sapiens.</x:v>
      </x:c>
      <x:c r="G67" s="4" t="str">
        <x:v>根据视频，以下哪一项被认为是人类进化的最早阶段？</x:v>
      </x:c>
      <x:c r="H67" s="4" t="str">
        <x:v>R1</x:v>
      </x:c>
      <x:c r="I67" s="4" t="str">
        <x:v>R1 | R3 | R8</x:v>
      </x:c>
      <x:c r="J67" s="4" t="str">
        <x:v>最早人类演化阶段是内容中的语义年代，不等于在视频中最先出现。若视频明示读R1；事件出现顺序R3；读取年代后比较可R8。代表题归类仍需视频证据确认。</x:v>
      </x:c>
      <x:c r="K67" s="4" t="str">
        <x:v>论文定义级核对；代表题按工作簿题干分析；未逐题观看视频；样本执行归类待证据确认</x:v>
      </x:c>
      <x:c r="L67" s="4" t="str">
        <x:v>src.video_mme.temporal_perception</x:v>
      </x:c>
      <x:c r="M67" s="4" t="str">
        <x:v>https://arxiv.org/html/2405.21075v3</x:v>
      </x:c>
      <x:c r="N67" s="4" t="str">
        <x:v>https://huggingface.co/datasets/lmms-eval/Video-MME</x:v>
      </x:c>
    </x:row>
    <x:row r="68" ht="136" customHeight="1">
      <x:c r="A68" s="4" t="str">
        <x:v>P06</x:v>
      </x:c>
      <x:c r="B68" s="4" t="str">
        <x:v>锚点窗口操作</x:v>
      </x:c>
      <x:c r="C68" s="4" t="str">
        <x:v>Video-MME</x:v>
      </x:c>
      <x:c r="D68" s="4" t="str">
        <x:v>Temporal Reasoning</x:v>
      </x:c>
      <x:c r="E68" s="4" t="str">
        <x:v>What happened when Irish imiggrants brought the tradition of St. Patrick's Day to America?</x:v>
      </x:c>
      <x:c r="F68" s="4" t="str">
        <x:v>A. They began to center around drinking and celebrating the festival.
B. St. Patrick moved to America.
C. They celebrated St. Patrick's birth instead.
D. They attended the church and gather for feasts.</x:v>
      </x:c>
      <x:c r="G68" s="4" t="str">
        <x:v>爱尔兰移民将圣帕特里克节的传统带到美国时发生了什么？</x:v>
      </x:c>
      <x:c r="H68" s="4" t="str">
        <x:v>R1</x:v>
      </x:c>
      <x:c r="I68" s="4" t="str">
        <x:v>R1 | R3 | R6 | R7</x:v>
      </x:c>
      <x:c r="J68" s="4" t="str">
        <x:v>圣帕特里克节传到美国后发生了什么，可能是解说中的直接事实；真实事件顺序走R3，原因解释R6，未发生的未来推演R7。代表题按明示事实条件暂列R1。</x:v>
      </x:c>
      <x:c r="K68" s="4" t="str">
        <x:v>论文定义级核对；代表题按工作簿题干分析；未逐题观看视频；样本执行归类待证据确认</x:v>
      </x:c>
      <x:c r="L68" s="4" t="str">
        <x:v>src.video_mme.temporal_reasoning</x:v>
      </x:c>
      <x:c r="M68" s="4" t="str">
        <x:v>https://arxiv.org/html/2405.21075v3</x:v>
      </x:c>
      <x:c r="N68" s="4" t="str">
        <x:v>https://huggingface.co/datasets/lmms-eval/Video-MME</x:v>
      </x:c>
    </x:row>
    <x:row r="69" ht="400" customHeight="1">
      <x:c r="A69" s="4" t="str">
        <x:v>P06</x:v>
      </x:c>
      <x:c r="B69" s="4" t="str">
        <x:v>锚点窗口操作</x:v>
      </x:c>
      <x:c r="C69" s="4" t="str">
        <x:v>Video-MME-v2</x:v>
      </x:c>
      <x:c r="D69" s="4" t="str">
        <x:v>Entity Attribute Change Detection</x:v>
      </x:c>
      <x:c r="E69" s="4" t="str">
        <x:v>How did the corn at the beginning of the video change?</x:v>
      </x:c>
      <x:c r="F69" s="4" t="str">
        <x:v>A. The corn cob curves → white roots emerge → green tender shoots emerge → corn seedlings grow tall, corn cob disappears.
B. Green tender shoots and white roots emerge → the corn cob curves → corn seedlings grow tall, corn cob disappears.
C. Green tender shoots emerge → corn seedlings grow tall, corn cob disappears → white roots emerge.
D. Green tender shoots emerge → the corn cob curves → corn seedlings grow tall, corn cob remains visible.
E. Green tender shoots emerge → white roots emerge → corn seedlings grow tall, corn cob remains visible.
F. Green tender shoots emerge → corn seedlings grow tall, corn cob remains visible → white roots emerge.
G. The corn cob curves → green tender shoots emerge → white roots emerge → corn seedlings grow tall, corn cob disappears.
H. The corn cob curves → green tender shoots and white roots emerge → corn seedlings grow tall, corn cob disappears.</x:v>
      </x:c>
      <x:c r="G69" s="4" t="str">
        <x:v>视频开始时的玉米是如何变化的？</x:v>
      </x:c>
      <x:c r="H69" s="4" t="str">
        <x:v>R2</x:v>
      </x:c>
      <x:c r="I69" s="4" t="str">
        <x:v>R2</x:v>
      </x:c>
      <x:c r="J69" s="4" t="str">
        <x:v>追踪同一玉米的属性前后变化；可按问题只比较端点，但需身份一致。</x:v>
      </x:c>
      <x:c r="K69" s="4" t="str">
        <x:v>论文定义级核对；代表题按工作簿题干分析；未逐题观看视频</x:v>
      </x:c>
      <x:c r="L69" s="4" t="str">
        <x:v>src.video_mme_v2.entity_attribute_change_detection</x:v>
      </x:c>
      <x:c r="M69" s="4" t="str">
        <x:v>https://arxiv.org/pdf/2604.05015</x:v>
      </x:c>
      <x:c r="N69" s="4" t="str">
        <x:v>https://huggingface.co/datasets/MME-Benchmarks/Video-MME-v2</x:v>
      </x:c>
    </x:row>
    <x:row r="70" ht="136" customHeight="1">
      <x:c r="A70" s="4" t="str">
        <x:v>P06</x:v>
      </x:c>
      <x:c r="B70" s="4" t="str">
        <x:v>锚点窗口操作</x:v>
      </x:c>
      <x:c r="C70" s="4" t="str">
        <x:v>Video-MME-v2</x:v>
      </x:c>
      <x:c r="D70" s="4" t="str">
        <x:v>Entity Existence Change Detection</x:v>
      </x:c>
      <x:c r="E70" s="4" t="str">
        <x:v>In the fifth scene, how many birds flew out of view?</x:v>
      </x:c>
      <x:c r="F70" s="4" t="str">
        <x:v>A. 0.
B. 5.
C. 6.
D. 8.
E. 1.
F. 3.
G. 2.
H. 4.</x:v>
      </x:c>
      <x:c r="G70" s="4" t="str">
        <x:v>第五个场景，有多少只鸟儿飞出视野？</x:v>
      </x:c>
      <x:c r="H70" s="4" t="str">
        <x:v>R4</x:v>
      </x:c>
      <x:c r="I70" s="4" t="str">
        <x:v>R2 | R3 | R4</x:v>
      </x:c>
      <x:c r="J70" s="4" t="str">
        <x:v>代表题问多少只鸟飞出视野，计数单位为鸟的实例，R4并调用追踪；问同一鸟飞出几次则R3；仅问实体进出变化则R2。</x:v>
      </x:c>
      <x:c r="K70" s="4" t="str">
        <x:v>论文定义级核对；代表题按工作簿题干分析；未逐题观看视频</x:v>
      </x:c>
      <x:c r="L70" s="4" t="str">
        <x:v>src.video_mme_v2.entity_existence_change_detection</x:v>
      </x:c>
      <x:c r="M70" s="4" t="str">
        <x:v>https://arxiv.org/pdf/2604.05015</x:v>
      </x:c>
      <x:c r="N70" s="4" t="str">
        <x:v>https://huggingface.co/datasets/MME-Benchmarks/Video-MME-v2</x:v>
      </x:c>
    </x:row>
    <x:row r="71" ht="276" customHeight="1">
      <x:c r="A71" s="4" t="str">
        <x:v>P06</x:v>
      </x:c>
      <x:c r="B71" s="4" t="str">
        <x:v>锚点窗口操作</x:v>
      </x:c>
      <x:c r="C71" s="4" t="str">
        <x:v>Video-MME-v2</x:v>
      </x:c>
      <x:c r="D71" s="4" t="str">
        <x:v>Scene Transformation Detection</x:v>
      </x:c>
      <x:c r="E71" s="4" t="str">
        <x:v>Compared to Level 3, what changes were made to the experimental setup in Level 4?</x:v>
      </x:c>
      <x:c r="F71" s="4" t="str">
        <x:v>A. The weight of the train was increased.
B. The base of the blocking pole was reinforced by replacing it with special materials.
C. The base of the blocking pole was increased from one side to two sides.
D. The weight of the train was decreased.
E. An additional blocking pole was added.
F. The blocking pole was reinforced.
G. The base of the blocking pole was lightened in weight.
H. The speed of the train was reduced.</x:v>
      </x:c>
      <x:c r="G71" s="4" t="str">
        <x:v>与第 3 级相比，第 4 级对实验装置作了哪些改动？</x:v>
      </x:c>
      <x:c r="H71" s="4" t="str">
        <x:v>R2</x:v>
      </x:c>
      <x:c r="I71" s="4" t="str">
        <x:v>R2 | R3</x:v>
      </x:c>
      <x:c r="J71" s="4" t="str">
        <x:v>Level 3到4装置变化是对齐后的状态差分；若问场景切换何时/顺序，改事件时间账本R3。</x:v>
      </x:c>
      <x:c r="K71" s="4" t="str">
        <x:v>论文定义级核对；代表题按工作簿题干分析；未逐题观看视频</x:v>
      </x:c>
      <x:c r="L71" s="4" t="str">
        <x:v>src.video_mme_v2.scene_transformation_detection</x:v>
      </x:c>
      <x:c r="M71" s="4" t="str">
        <x:v>https://arxiv.org/pdf/2604.05015</x:v>
      </x:c>
      <x:c r="N71" s="4" t="str">
        <x:v>https://huggingface.co/datasets/MME-Benchmarks/Video-MME-v2</x:v>
      </x:c>
    </x:row>
    <x:row r="72" ht="220" customHeight="1">
      <x:c r="A72" s="4" t="str">
        <x:v>P06</x:v>
      </x:c>
      <x:c r="B72" s="4" t="str">
        <x:v>锚点窗口操作</x:v>
      </x:c>
      <x:c r="C72" s="4" t="str">
        <x:v>Video-MME-v2</x:v>
      </x:c>
      <x:c r="D72" s="4" t="str">
        <x:v>Temporal Action Localization</x:v>
      </x:c>
      <x:c r="E72" s="4" t="str">
        <x:v>What is the first thing that happens after the boy pulls the curtain closed?</x:v>
      </x:c>
      <x:c r="F72" s="4" t="str">
        <x:v>A. The boy is hugged by his sister.
B. The boy looks around.
C. The boy and his sister look out the window together.
D. The boy adjusts his collar.
E. The boy scratches his nose.
F. The boy calls his sister's name.
G. The boy plays with a game controller.
H. The boy takes a deep breath.</x:v>
      </x:c>
      <x:c r="G72" s="4" t="str">
        <x:v>男孩把窗帘拉上之后，最先发生了什么？</x:v>
      </x:c>
      <x:c r="H72" s="4" t="str">
        <x:v>R3</x:v>
      </x:c>
      <x:c r="I72" s="4" t="str">
        <x:v>R3</x:v>
      </x:c>
      <x:c r="J72" s="4" t="str">
        <x:v>拉上窗帘后第一件事需要锚点之后的有序事件与排除中间遗漏，不只是任意找到一个相关片段。</x:v>
      </x:c>
      <x:c r="K72" s="4" t="str">
        <x:v>论文定义级核对；代表题按工作簿题干分析；未逐题观看视频</x:v>
      </x:c>
      <x:c r="L72" s="4" t="str">
        <x:v>src.video_mme_v2.temporal_action_localization</x:v>
      </x:c>
      <x:c r="M72" s="4" t="str">
        <x:v>https://arxiv.org/pdf/2604.05015</x:v>
      </x:c>
      <x:c r="N72" s="4" t="str">
        <x:v>https://huggingface.co/datasets/MME-Benchmarks/Video-MME-v2</x:v>
      </x:c>
    </x:row>
    <x:row r="73" ht="400" customHeight="1">
      <x:c r="A73" s="4" t="str">
        <x:v>P07</x:v>
      </x:c>
      <x:c r="B73" s="4" t="str">
        <x:v>事件时间索引</x:v>
      </x:c>
      <x:c r="C73" s="4" t="str">
        <x:v>LongVideoBench</x:v>
      </x:c>
      <x:c r="D73" s="4" t="str">
        <x:v>Sequence of Scenes</x:v>
      </x:c>
      <x:c r="E73" s="4" t="str">
        <x:v>Which of the following scene sequences is correct?</x:v>
      </x:c>
      <x:c r="F73" s="4" t="str">
        <x:v>A. First, a man wearing a black hoodie yawning; then, a man holding a white sign with the red text 'I HATE'; finally, two dark-skinned children lying at the doorway looking outside.
B. First, two dark-skinned children lying at the doorway looking outside; then, a man wearing a black hoodie yawning; finally, a man holding a white sign with the red text 'I HATE'.
C. First, a man holding a white sign with the red text 'I HATE'; then, a man wearing a black hoodie yawning; finally, two dark-skinned children lying at the doorway looking outside.
D. First, a man holding a white sign with the red text 'I HATE'; then, two dark-skinned children lying at the doorway looking outside; finally, a man wearing a black hoodie yawning.
E. First, two dark-skinned children lying at the doorway looking outside; then, a man holding a white sign with the red text 'I HATE'; finally, a man wearing a black hoodie yawning.</x:v>
      </x:c>
      <x:c r="G73" s="4" t="str">
        <x:v>以下哪个场景顺序是正确的？</x:v>
      </x:c>
      <x:c r="H73" s="4" t="str">
        <x:v>R3</x:v>
      </x:c>
      <x:c r="I73" s="4" t="str">
        <x:v>R1 | R3</x:v>
      </x:c>
      <x:c r="J73" s="4" t="str">
        <x:v>为场景建立时间索引，再比较顺序。</x:v>
      </x:c>
      <x:c r="K73" s="4" t="str">
        <x:v>论文定义级核对；代表题按工作簿题干分析；未逐题观看视频</x:v>
      </x:c>
      <x:c r="L73" s="4" t="str">
        <x:v>src.longvideobench.sss</x:v>
      </x:c>
      <x:c r="M73" s="4" t="str">
        <x:v>https://arxiv.org/pdf/2407.15754</x:v>
      </x:c>
      <x:c r="N73" s="4" t="str">
        <x:v>https://huggingface.co/datasets/longvideobench/LongVideoBench</x:v>
      </x:c>
    </x:row>
    <x:row r="74" ht="80" customHeight="1">
      <x:c r="A74" s="4" t="str">
        <x:v>P07</x:v>
      </x:c>
      <x:c r="B74" s="4" t="str">
        <x:v>事件时间索引</x:v>
      </x:c>
      <x:c r="C74" s="4" t="str">
        <x:v>MLVU</x:v>
      </x:c>
      <x:c r="D74" s="4" t="str">
        <x:v>Action Order</x:v>
      </x:c>
      <x:c r="E74" s="4" t="str">
        <x:v>Order these actions from the video: (1) water skiing, (2) playing trombone, (3) making jewelry.</x:v>
      </x:c>
      <x:c r="F74" s="4" t="str">
        <x:v>A. 1 → 2 → 3
B. 1 → 3 → 2
C. 2 → 1 → 3
D. 2 → 3 → 1</x:v>
      </x:c>
      <x:c r="G74" s="4" t="str">
        <x:v>请按视频中的先后顺序排列这些动作：（1）滑水；（2）吹长号；（3）制作首饰。</x:v>
      </x:c>
      <x:c r="H74" s="4" t="str">
        <x:v>R3</x:v>
      </x:c>
      <x:c r="I74" s="4" t="str">
        <x:v>R3</x:v>
      </x:c>
      <x:c r="J74" s="4" t="str">
        <x:v>为各动作建时间索引后排序。</x:v>
      </x:c>
      <x:c r="K74" s="4" t="str">
        <x:v>论文定义级核对；代表题按工作簿题干分析；未逐题观看视频</x:v>
      </x:c>
      <x:c r="L74" s="4" t="str">
        <x:v>src.mlvu.ao</x:v>
      </x:c>
      <x:c r="M74" s="4" t="str">
        <x:v>https://arxiv.org/html/2406.04264v3</x:v>
      </x:c>
      <x:c r="N74" s="4" t="str">
        <x:v>https://github.com/JUNJIE99/MLVU</x:v>
      </x:c>
    </x:row>
    <x:row r="75" ht="108" customHeight="1">
      <x:c r="A75" s="4" t="str">
        <x:v>P07</x:v>
      </x:c>
      <x:c r="B75" s="4" t="str">
        <x:v>事件时间索引</x:v>
      </x:c>
      <x:c r="C75" s="4" t="str">
        <x:v>MVBench</x:v>
      </x:c>
      <x:c r="D75" s="4" t="str">
        <x:v>Action Localization</x:v>
      </x:c>
      <x:c r="E75" s="4" t="str">
        <x:v>During which part of the video does the action 'person sitting on a couch' occur?</x:v>
      </x:c>
      <x:c r="F75" s="4" t="str">
        <x:v>A. In the middle of the video.
B. At the end of the video.
C. Throughout the entire video.
D. At the beginning of the video.</x:v>
      </x:c>
      <x:c r="G75" s="4" t="str">
        <x:v>在视频的哪一部分中，会出现“坐在沙发上的人”动作？</x:v>
      </x:c>
      <x:c r="H75" s="4" t="str">
        <x:v>R3</x:v>
      </x:c>
      <x:c r="I75" s="4" t="str">
        <x:v>R3</x:v>
      </x:c>
      <x:c r="J75" s="4" t="str">
        <x:v>问动作发生在视频哪一段；需定位区间再映射选项。</x:v>
      </x:c>
      <x:c r="K75" s="4" t="str">
        <x:v>论文定义级核对；代表题按工作簿题干分析；未逐题观看视频</x:v>
      </x:c>
      <x:c r="L75" s="4" t="str">
        <x:v>src.mvbench.action_localization</x:v>
      </x:c>
      <x:c r="M75" s="4" t="str">
        <x:v>https://arxiv.org/pdf/2311.17005</x:v>
      </x:c>
      <x:c r="N75" s="4" t="str">
        <x:v>https://huggingface.co/datasets/OpenGVLab/MVBench</x:v>
      </x:c>
    </x:row>
    <x:row r="76" ht="52" customHeight="1">
      <x:c r="A76" s="4" t="str">
        <x:v>P07</x:v>
      </x:c>
      <x:c r="B76" s="4" t="str">
        <x:v>事件时间索引</x:v>
      </x:c>
      <x:c r="C76" s="4" t="str">
        <x:v>MVBench</x:v>
      </x:c>
      <x:c r="D76" s="4" t="str">
        <x:v>Character Order</x:v>
      </x:c>
      <x:c r="E76" s="4" t="str">
        <x:v>What letter did the person write first on the paper?</x:v>
      </x:c>
      <x:c r="F76" s="4" t="str">
        <x:v>A. l
B. v
C. e</x:v>
      </x:c>
      <x:c r="G76" s="4" t="str">
        <x:v>这个人首先在纸上写了哪个字母？</x:v>
      </x:c>
      <x:c r="H76" s="4" t="str">
        <x:v>R3</x:v>
      </x:c>
      <x:c r="I76" s="4" t="str">
        <x:v>R3</x:v>
      </x:c>
      <x:c r="J76" s="4" t="str">
        <x:v>OCR是感知组件；first按字母首次写出时间排序。</x:v>
      </x:c>
      <x:c r="K76" s="4" t="str">
        <x:v>论文定义级核对；代表题按工作簿题干分析；未逐题观看视频</x:v>
      </x:c>
      <x:c r="L76" s="4" t="str">
        <x:v>src.mvbench.character_order</x:v>
      </x:c>
      <x:c r="M76" s="4" t="str">
        <x:v>https://arxiv.org/pdf/2311.17005</x:v>
      </x:c>
      <x:c r="N76" s="4" t="str">
        <x:v>https://huggingface.co/datasets/OpenGVLab/MVBench</x:v>
      </x:c>
    </x:row>
    <x:row r="77" ht="108" customHeight="1">
      <x:c r="A77" s="4" t="str">
        <x:v>P07</x:v>
      </x:c>
      <x:c r="B77" s="4" t="str">
        <x:v>事件时间索引</x:v>
      </x:c>
      <x:c r="C77" s="4" t="str">
        <x:v>TOMATO</x:v>
      </x:c>
      <x:c r="D77" s="4" t="str">
        <x:v>Visual Cues</x:v>
      </x:c>
      <x:c r="E77" s="4" t="str">
        <x:v>Which musical instrument sounds last?</x:v>
      </x:c>
      <x:c r="F77" s="4" t="str">
        <x:v>A. Cello.
B. None of them produces any sound.
C. Flute.
D. Violin.
E. All instruments sound at the same time.</x:v>
      </x:c>
      <x:c r="G77" s="4" t="str">
        <x:v>哪种乐器最后发声？</x:v>
      </x:c>
      <x:c r="H77" s="4" t="str">
        <x:v>R3</x:v>
      </x:c>
      <x:c r="I77" s="4" t="str">
        <x:v>R2 | R3</x:v>
      </x:c>
      <x:c r="J77" s="4" t="str">
        <x:v>§4.1明确无音频，凭可见演奏动作判断先后/时机；sounds不授权音频。</x:v>
      </x:c>
      <x:c r="K77" s="4" t="str">
        <x:v>论文定义级核对；代表题按工作簿题干分析；未逐题观看视频</x:v>
      </x:c>
      <x:c r="L77" s="4" t="str">
        <x:v>src.tomato.visual_cues</x:v>
      </x:c>
      <x:c r="M77" s="4" t="str">
        <x:v>https://arxiv.org/html/2410.23266v2</x:v>
      </x:c>
      <x:c r="N77" s="4" t="str">
        <x:v>https://github.com/yale-nlp/TOMATO</x:v>
      </x:c>
    </x:row>
    <x:row r="78" ht="108" customHeight="1">
      <x:c r="A78" s="4" t="str">
        <x:v>P07</x:v>
      </x:c>
      <x:c r="B78" s="4" t="str">
        <x:v>事件时间索引</x:v>
      </x:c>
      <x:c r="C78" s="4" t="str">
        <x:v>TVBench</x:v>
      </x:c>
      <x:c r="D78" s="4" t="str">
        <x:v>Action Localization</x:v>
      </x:c>
      <x:c r="E78" s="4" t="str">
        <x:v>During which part of the video does the action 'person takes a blanket' occur?</x:v>
      </x:c>
      <x:c r="F78" s="4" t="str">
        <x:v>A. Throughout the entire video.
B. At the end of the video.
C. In the middle of the video.
D. At the beginning of the video.</x:v>
      </x:c>
      <x:c r="G78" s="4" t="str">
        <x:v>“人拿毯子”的动作发生在视频的哪一部分？</x:v>
      </x:c>
      <x:c r="H78" s="4" t="str">
        <x:v>R3</x:v>
      </x:c>
      <x:c r="I78" s="4" t="str">
        <x:v>R3</x:v>
      </x:c>
      <x:c r="J78" s="4" t="str">
        <x:v>动作时间区间映射到beginning/middle/end等选项。</x:v>
      </x:c>
      <x:c r="K78" s="4" t="str">
        <x:v>原论文模板核对；执行归类为设计建议</x:v>
      </x:c>
      <x:c r="L78" s="4" t="str">
        <x:v>src.tvbench.action_localization</x:v>
      </x:c>
      <x:c r="M78" s="4" t="str">
        <x:v>https://arxiv.org/html/2410.07752v2</x:v>
      </x:c>
      <x:c r="N78" s="4" t="str">
        <x:v>https://huggingface.co/datasets/FunAILab/TVBench</x:v>
      </x:c>
    </x:row>
    <x:row r="79" ht="108" customHeight="1">
      <x:c r="A79" s="4" t="str">
        <x:v>P07</x:v>
      </x:c>
      <x:c r="B79" s="4" t="str">
        <x:v>事件时间索引</x:v>
      </x:c>
      <x:c r="C79" s="4" t="str">
        <x:v>TVBench</x:v>
      </x:c>
      <x:c r="D79" s="4" t="str">
        <x:v>Egocentric Sequence</x:v>
      </x:c>
      <x:c r="E79" s="4" t="str">
        <x:v>What is the sequence of actions shown in the video?</x:v>
      </x:c>
      <x:c r="F79" s="4" t="str">
        <x:v>A. Ground-truth action sequence
B. Permutation obtained by swapping two actions
C. A second swapped permutation
D. A third swapped permutation</x:v>
      </x:c>
      <x:c r="G79" s="4" t="str">
        <x:v>视频中显示的操作顺序是什么？</x:v>
      </x:c>
      <x:c r="H79" s="4" t="str">
        <x:v>R3</x:v>
      </x:c>
      <x:c r="I79" s="4" t="str">
        <x:v>R3</x:v>
      </x:c>
      <x:c r="J79" s="4" t="str">
        <x:v>第一人称不是独立推理算法；问题是动作序列。</x:v>
      </x:c>
      <x:c r="K79" s="4" t="str">
        <x:v>原论文模板核对；执行归类为设计建议</x:v>
      </x:c>
      <x:c r="L79" s="4" t="str">
        <x:v>src.tvbench.egocentric_sequence</x:v>
      </x:c>
      <x:c r="M79" s="4" t="str">
        <x:v>https://arxiv.org/html/2410.07752v2</x:v>
      </x:c>
      <x:c r="N79" s="4" t="str">
        <x:v>https://huggingface.co/datasets/FunAILab/TVBench</x:v>
      </x:c>
    </x:row>
    <x:row r="80" ht="80" customHeight="1">
      <x:c r="A80" s="4" t="str">
        <x:v>P07</x:v>
      </x:c>
      <x:c r="B80" s="4" t="str">
        <x:v>事件时间索引</x:v>
      </x:c>
      <x:c r="C80" s="4" t="str">
        <x:v>Video-MME</x:v>
      </x:c>
      <x:c r="D80" s="4" t="str">
        <x:v>Temporal Perception</x:v>
      </x:c>
      <x:c r="E80" s="4" t="str">
        <x:v>According to the video, which of the following is considered the earliest stage of human evolution?</x:v>
      </x:c>
      <x:c r="F80" s="4" t="str">
        <x:v>A. Ramapithecus.
B. Dryopithecus.
C. Ardipithecus Ramidus.
D. Homo Sapiens.</x:v>
      </x:c>
      <x:c r="G80" s="4" t="str">
        <x:v>根据视频，以下哪一项被认为是人类进化的最早阶段？</x:v>
      </x:c>
      <x:c r="H80" s="4" t="str">
        <x:v>R1</x:v>
      </x:c>
      <x:c r="I80" s="4" t="str">
        <x:v>R1 | R3 | R8</x:v>
      </x:c>
      <x:c r="J80" s="4" t="str">
        <x:v>最早人类演化阶段是内容中的语义年代，不等于在视频中最先出现。若视频明示读R1；事件出现顺序R3；读取年代后比较可R8。代表题归类仍需视频证据确认。</x:v>
      </x:c>
      <x:c r="K80" s="4" t="str">
        <x:v>论文定义级核对；代表题按工作簿题干分析；未逐题观看视频；样本执行归类待证据确认</x:v>
      </x:c>
      <x:c r="L80" s="4" t="str">
        <x:v>src.video_mme.temporal_perception</x:v>
      </x:c>
      <x:c r="M80" s="4" t="str">
        <x:v>https://arxiv.org/html/2405.21075v3</x:v>
      </x:c>
      <x:c r="N80" s="4" t="str">
        <x:v>https://huggingface.co/datasets/lmms-eval/Video-MME</x:v>
      </x:c>
    </x:row>
    <x:row r="81" ht="206" customHeight="1">
      <x:c r="A81" s="4" t="str">
        <x:v>P07</x:v>
      </x:c>
      <x:c r="B81" s="4" t="str">
        <x:v>事件时间索引</x:v>
      </x:c>
      <x:c r="C81" s="4" t="str">
        <x:v>Video-MME-v2</x:v>
      </x:c>
      <x:c r="D81" s="4" t="str">
        <x:v>Event Sequence Ordering</x:v>
      </x:c>
      <x:c r="E81" s="4" t="str">
        <x:v>Which teams scored the first and last goals in this match, respectively?</x:v>
      </x:c>
      <x:c r="F81" s="4" t="str">
        <x:v>A. The green team, the green team.
B. The white team, the blue team.
C. The red team, the red team.
D. The green team, the red team.
E. The white team, the white team.
F. The red team, the green team.
G. The red team, the white team.
H. The white team, the red team.</x:v>
      </x:c>
      <x:c r="G81" s="4" t="str">
        <x:v>在这场比赛中，哪支球队分别打进了第一个和最后一个进球？</x:v>
      </x:c>
      <x:c r="H81" s="4" t="str">
        <x:v>R3</x:v>
      </x:c>
      <x:c r="I81" s="4" t="str">
        <x:v>R3</x:v>
      </x:c>
      <x:c r="J81" s="4" t="str">
        <x:v>首个与最后一个进球需要已发生事件的时间索引及末端覆盖，而非未来预测。</x:v>
      </x:c>
      <x:c r="K81" s="4" t="str">
        <x:v>论文定义级核对；代表题按工作簿题干分析；未逐题观看视频</x:v>
      </x:c>
      <x:c r="L81" s="4" t="str">
        <x:v>src.video_mme_v2.event_sequence_ordering</x:v>
      </x:c>
      <x:c r="M81" s="4" t="str">
        <x:v>https://arxiv.org/pdf/2604.05015</x:v>
      </x:c>
      <x:c r="N81" s="4" t="str">
        <x:v>https://huggingface.co/datasets/MME-Benchmarks/Video-MME-v2</x:v>
      </x:c>
    </x:row>
    <x:row r="82" ht="262" customHeight="1">
      <x:c r="A82" s="4" t="str">
        <x:v>P07</x:v>
      </x:c>
      <x:c r="B82" s="4" t="str">
        <x:v>事件时间索引</x:v>
      </x:c>
      <x:c r="C82" s="4" t="str">
        <x:v>Video-MME-v2</x:v>
      </x:c>
      <x:c r="D82" s="4" t="str">
        <x:v>Object Appearance Ordering</x:v>
      </x:c>
      <x:c r="E82" s="4" t="str">
        <x:v>What is the sequence of last five aquatic animals appearing in the video?</x:v>
      </x:c>
      <x:c r="F82" s="4" t="str">
        <x:v>A. Fish -&gt; Hippo -&gt; Whale -&gt; Orca -&gt; Seal &amp; Orca.
B. Whale -&gt; Hippo -&gt; Fish -&gt; Seal &amp; Orca -&gt; Orca.
C. Fish -&gt; Seal &amp; Orca -&gt; Orca -&gt; Whale -&gt; Hippo.
D. Whale -&gt; Orca -&gt; Hippo -&gt; Fish -&gt; Seal &amp; Orca.
E. Hippo -&gt; Whale -&gt; Fish -&gt; Orca -&gt; Seal &amp; Orca.
F. Hippo -&gt; Whale -&gt; Orca -&gt; Seal &amp; Orca -&gt; Fish.
G. Hippo -&gt; Fish -&gt; Whale -&gt; Orca -&gt; Seal &amp; Orca.
H. Hippo -&gt; Whale -&gt; Fish -&gt; Seal &amp; Orca -&gt; Orca.</x:v>
      </x:c>
      <x:c r="G82" s="4" t="str">
        <x:v>视频中最后出现的五种水生动物依次是什么？</x:v>
      </x:c>
      <x:c r="H82" s="4" t="str">
        <x:v>R3</x:v>
      </x:c>
      <x:c r="I82" s="4" t="str">
        <x:v>R3</x:v>
      </x:c>
      <x:c r="J82" s="4" t="str">
        <x:v>最后五种水生动物的出现顺序依赖事件时间索引及尾段覆盖；按题目指定出现/首次/末次口径。</x:v>
      </x:c>
      <x:c r="K82" s="4" t="str">
        <x:v>论文定义级核对；代表题按工作簿题干分析；未逐题观看视频</x:v>
      </x:c>
      <x:c r="L82" s="4" t="str">
        <x:v>src.video_mme_v2.object_appearance_ordering</x:v>
      </x:c>
      <x:c r="M82" s="4" t="str">
        <x:v>https://arxiv.org/pdf/2604.05015</x:v>
      </x:c>
      <x:c r="N82" s="4" t="str">
        <x:v>https://huggingface.co/datasets/MME-Benchmarks/Video-MME-v2</x:v>
      </x:c>
    </x:row>
    <x:row r="83" ht="108" customHeight="1">
      <x:c r="A83" s="4" t="str">
        <x:v>P07</x:v>
      </x:c>
      <x:c r="B83" s="4" t="str">
        <x:v>事件时间索引</x:v>
      </x:c>
      <x:c r="C83" s="4" t="str">
        <x:v>VSI-Bench</x:v>
      </x:c>
      <x:c r="D83" s="4" t="str">
        <x:v>Appearance Order</x:v>
      </x:c>
      <x:c r="E83" s="4" t="str">
        <x:v>What will be the first-time appearance order of the following categories in the video: ceiling light, cup, heater, door?</x:v>
      </x:c>
      <x:c r="F83" s="4" t="str">
        <x:v>A. cup, door, heater, ceiling light
B. ceiling light, door, cup, heater
C. heater, cup, door, ceiling light
D. ceiling light, cup, heater, door</x:v>
      </x:c>
      <x:c r="G83" s="4" t="str">
        <x:v>视频中以下类别的首次亮相顺序是什么：天花板灯、杯子、取暖器、门？</x:v>
      </x:c>
      <x:c r="H83" s="4" t="str">
        <x:v>R3</x:v>
      </x:c>
      <x:c r="I83" s="4" t="str">
        <x:v>R3</x:v>
      </x:c>
      <x:c r="J83" s="4" t="str">
        <x:v>按视频中类别首次出现排序；题干will不表示预测不可见未来，需阅读允许的完整视频范围。</x:v>
      </x:c>
      <x:c r="K83" s="4" t="str">
        <x:v>论文定义级核对；代表题按工作簿题干分析；未逐题观看视频</x:v>
      </x:c>
      <x:c r="L83" s="4" t="str">
        <x:v>src.vsi_bench.appearance_order</x:v>
      </x:c>
      <x:c r="M83" s="4" t="str">
        <x:v>https://arxiv.org/pdf/2412.14171</x:v>
      </x:c>
      <x:c r="N83" s="4" t="str">
        <x:v>https://huggingface.co/datasets/nyu-visionx/VSI-Bench</x:v>
      </x:c>
    </x:row>
    <x:row r="84" ht="94" customHeight="1">
      <x:c r="A84" s="4" t="str">
        <x:v>P08</x:v>
      </x:c>
      <x:c r="B84" s="4" t="str">
        <x:v>规范化全局清单</x:v>
      </x:c>
      <x:c r="C84" s="4" t="str">
        <x:v>LongVideoBench</x:v>
      </x:c>
      <x:c r="D84" s="4" t="str">
        <x:v>Scene-referred Object Existence</x:v>
      </x:c>
      <x:c r="E84" s="4" t="str">
        <x:v>On the red wooden table there is an iron grid rack with a glass bowl containing four rolls of food, and a brush covered with yellow liquid decorating them. Which object did not appear?</x:v>
      </x:c>
      <x:c r="F84" s="4" t="str">
        <x:v>A. Light blue brush
B. Red brush
C. Glass bowl with egg liquid
D. Black iron rack</x:v>
      </x:c>
      <x:c r="G84" s="4" t="str">
        <x:v>红色木桌上有一个铁网架，架上放着一个装有四卷食物的玻璃碗，旁边有人用沾有黄色液体的刷子给食物上色。以下哪个物体没有出现？</x:v>
      </x:c>
      <x:c r="H84" s="4" t="str">
        <x:v>R4</x:v>
      </x:c>
      <x:c r="I84" s="4" t="str">
        <x:v>R4</x:v>
      </x:c>
      <x:c r="J84" s="4" t="str">
        <x:v>did not appear的覆盖范围是题目限定的红桌场景；不是无条件扫描全视频。</x:v>
      </x:c>
      <x:c r="K84" s="4" t="str">
        <x:v>论文定义级核对；代表题按工作簿题干分析；未逐题观看视频</x:v>
      </x:c>
      <x:c r="L84" s="4" t="str">
        <x:v>src.longvideobench.s2o</x:v>
      </x:c>
      <x:c r="M84" s="4" t="str">
        <x:v>https://arxiv.org/pdf/2407.15754</x:v>
      </x:c>
      <x:c r="N84" s="4" t="str">
        <x:v>https://huggingface.co/datasets/longvideobench/LongVideoBench</x:v>
      </x:c>
    </x:row>
    <x:row r="85" ht="66" customHeight="1">
      <x:c r="A85" s="4" t="str">
        <x:v>P08</x:v>
      </x:c>
      <x:c r="B85" s="4" t="str">
        <x:v>规范化全局清单</x:v>
      </x:c>
      <x:c r="C85" s="4" t="str">
        <x:v>TVBench</x:v>
      </x:c>
      <x:c r="D85" s="4" t="str">
        <x:v>Action Count</x:v>
      </x:c>
      <x:c r="E85" s="4" t="str">
        <x:v>The person makes sets of repeated actions. How many distinct repeated actions did the person do?</x:v>
      </x:c>
      <x:c r="F85" s="4" t="str">
        <x:v>A. 2
B. 3
C. 4
D. 5</x:v>
      </x:c>
      <x:c r="G85" s="4" t="str">
        <x:v>此人会做出一组重复的动作。此人做了多少不同的重复动作？</x:v>
      </x:c>
      <x:c r="H85" s="4" t="str">
        <x:v>R4</x:v>
      </x:c>
      <x:c r="I85" s="4" t="str">
        <x:v>R3 | R4</x:v>
      </x:c>
      <x:c r="J85" s="4" t="str">
        <x:v>模板强调sets/distinct repeated actions。暂保留动作种类/组的去重清单解释；必须复核原视频/标注计数单位，不能自动当作MVBench动作次数。</x:v>
      </x:c>
      <x:c r="K85" s="4" t="str">
        <x:v>待视频/标注计数单位复核；不宣称原P08错误</x:v>
      </x:c>
      <x:c r="L85" s="4" t="str">
        <x:v>src.tvbench.action_count</x:v>
      </x:c>
      <x:c r="M85" s="4" t="str">
        <x:v>https://arxiv.org/html/2410.07752v2</x:v>
      </x:c>
      <x:c r="N85" s="4" t="str">
        <x:v>https://huggingface.co/datasets/FunAILab/TVBench</x:v>
      </x:c>
    </x:row>
    <x:row r="86" ht="94" customHeight="1">
      <x:c r="A86" s="4" t="str">
        <x:v>P08</x:v>
      </x:c>
      <x:c r="B86" s="4" t="str">
        <x:v>规范化全局清单</x:v>
      </x:c>
      <x:c r="C86" s="4" t="str">
        <x:v>Video-MME</x:v>
      </x:c>
      <x:c r="D86" s="4" t="str">
        <x:v>Counting Problem</x:v>
      </x:c>
      <x:c r="E86" s="4" t="str">
        <x:v>When demonstrating the Germany modern Christmas tree is initially decorated with apples, candles and berries, which kind of the decoration has the largest number?</x:v>
      </x:c>
      <x:c r="F86" s="4" t="str">
        <x:v>A. Apples.
B. Candles.
C. Berries.
D. The three kinds are of the same number.</x:v>
      </x:c>
      <x:c r="G86" s="4" t="str">
        <x:v>在展示德国现代圣诞树时，最初装饰的是苹果、蜡烛和浆果，哪种装饰数量最多？</x:v>
      </x:c>
      <x:c r="H86" s="4" t="str">
        <x:v>R4</x:v>
      </x:c>
      <x:c r="I86" s="4" t="str">
        <x:v>R1 | R3 | R4</x:v>
      </x:c>
      <x:c r="J86" s="4" t="str">
        <x:v>装饰物哪类最多需各类实例清单及比较；重复动作次数走R3，视频直接报出一个数量且仅问该事实时可R1。先固定计数单位。</x:v>
      </x:c>
      <x:c r="K86" s="4" t="str">
        <x:v>论文定义级核对；代表题按工作簿题干分析；未逐题观看视频</x:v>
      </x:c>
      <x:c r="L86" s="4" t="str">
        <x:v>src.video_mme.counting_problem</x:v>
      </x:c>
      <x:c r="M86" s="4" t="str">
        <x:v>https://arxiv.org/html/2405.21075v3</x:v>
      </x:c>
      <x:c r="N86" s="4" t="str">
        <x:v>https://huggingface.co/datasets/lmms-eval/Video-MME</x:v>
      </x:c>
    </x:row>
    <x:row r="87" ht="164" customHeight="1">
      <x:c r="A87" s="4" t="str">
        <x:v>P08</x:v>
      </x:c>
      <x:c r="B87" s="4" t="str">
        <x:v>规范化全局清单</x:v>
      </x:c>
      <x:c r="C87" s="4" t="str">
        <x:v>Video-MME</x:v>
      </x:c>
      <x:c r="D87" s="4" t="str">
        <x:v>Information Synopsis</x:v>
      </x:c>
      <x:c r="E87" s="4" t="str">
        <x:v>What is the genre of this video?</x:v>
      </x:c>
      <x:c r="F87" s="4" t="str">
        <x:v>A. It is a news report that introduces the history behind Christmas decorations.
B. It is a documentary on the evolution of Christmas holiday recipes.
C. It is a travel vlog exploring Christmas markets around the world.
D. It is a tutorial on DIY Christmas ornament crafting.</x:v>
      </x:c>
      <x:c r="G87" s="4" t="str">
        <x:v>这段视频属于什么题材或类型？</x:v>
      </x:c>
      <x:c r="H87" s="4" t="str">
        <x:v>R5</x:v>
      </x:c>
      <x:c r="I87" s="4" t="str">
        <x:v>R4 | R5 | R6</x:v>
      </x:c>
      <x:c r="J87" s="4" t="str">
        <x:v>视频体裁、主旨或整体内容需要覆盖相关全片；实体列表走R4，隐喻/深层寓意走R6。</x:v>
      </x:c>
      <x:c r="K87" s="4" t="str">
        <x:v>论文定义级核对；代表题按工作簿题干分析；未逐题观看视频</x:v>
      </x:c>
      <x:c r="L87" s="4" t="str">
        <x:v>src.video_mme.information_synopsis</x:v>
      </x:c>
      <x:c r="M87" s="4" t="str">
        <x:v>https://arxiv.org/html/2405.21075v3</x:v>
      </x:c>
      <x:c r="N87" s="4" t="str">
        <x:v>https://huggingface.co/datasets/lmms-eval/Video-MME</x:v>
      </x:c>
    </x:row>
    <x:row r="88" ht="80" customHeight="1">
      <x:c r="A88" s="4" t="str">
        <x:v>P08</x:v>
      </x:c>
      <x:c r="B88" s="4" t="str">
        <x:v>规范化全局清单</x:v>
      </x:c>
      <x:c r="C88" s="4" t="str">
        <x:v>Video-MME</x:v>
      </x:c>
      <x:c r="D88" s="4" t="str">
        <x:v>Object Recognition</x:v>
      </x:c>
      <x:c r="E88" s="4" t="str">
        <x:v>Which of the following features/items is not discussed in the video in relation to the tomb?</x:v>
      </x:c>
      <x:c r="F88" s="4" t="str">
        <x:v>A. Inkstone.
B. Niche.
C. Jade.
D. Sacrificial table.</x:v>
      </x:c>
      <x:c r="G88" s="4" t="str">
        <x:v>关于这座墓葬，视频没有讨论以下哪项特征或物品？</x:v>
      </x:c>
      <x:c r="H88" s="4" t="str">
        <x:v>R4</x:v>
      </x:c>
      <x:c r="I88" s="4" t="str">
        <x:v>R1 | R4</x:v>
      </x:c>
      <x:c r="J88" s="4" t="str">
        <x:v>代表题问墓葬哪些特征/物品未被讨论，是限定话题的排除清单，不是找到一个物体即可停止。普通目标识别仍R1。</x:v>
      </x:c>
      <x:c r="K88" s="4" t="str">
        <x:v>论文定义级核对；代表题按工作簿题干分析；未逐题观看视频</x:v>
      </x:c>
      <x:c r="L88" s="4" t="str">
        <x:v>src.video_mme.object_recognition</x:v>
      </x:c>
      <x:c r="M88" s="4" t="str">
        <x:v>https://arxiv.org/html/2405.21075v3</x:v>
      </x:c>
      <x:c r="N88" s="4" t="str">
        <x:v>https://huggingface.co/datasets/lmms-eval/Video-MME</x:v>
      </x:c>
    </x:row>
    <x:row r="89" ht="108" customHeight="1">
      <x:c r="A89" s="4" t="str">
        <x:v>P08</x:v>
      </x:c>
      <x:c r="B89" s="4" t="str">
        <x:v>规范化全局清单</x:v>
      </x:c>
      <x:c r="C89" s="4" t="str">
        <x:v>Video-MME</x:v>
      </x:c>
      <x:c r="D89" s="4" t="str">
        <x:v>OCR Problems</x:v>
      </x:c>
      <x:c r="E89" s="4" t="str">
        <x:v>What is the specific sentence in the smart phone that makes the man embarrassed?</x:v>
      </x:c>
      <x:c r="F89" s="4" t="str">
        <x:v>A. BTW...you got something in your teeth!
B. Dude! You gotta come toBigStuf Camps!
C. Smoke Sig 2.0.
D. Last but not least.</x:v>
      </x:c>
      <x:c r="G89" s="4" t="str">
        <x:v>智能手机中是什么具体的句子让男人尴尬？</x:v>
      </x:c>
      <x:c r="H89" s="4" t="str">
        <x:v>R1</x:v>
      </x:c>
      <x:c r="I89" s="4" t="str">
        <x:v>R1 | R4</x:v>
      </x:c>
      <x:c r="J89" s="4" t="str">
        <x:v>手机上的特定句子可定位后高分辨率读取；若收集全片所有文字、不同店名或未出现项，需要R4清单。</x:v>
      </x:c>
      <x:c r="K89" s="4" t="str">
        <x:v>论文定义级核对；代表题按工作簿题干分析；未逐题观看视频</x:v>
      </x:c>
      <x:c r="L89" s="4" t="str">
        <x:v>src.video_mme.ocr_problems</x:v>
      </x:c>
      <x:c r="M89" s="4" t="str">
        <x:v>https://arxiv.org/html/2405.21075v3</x:v>
      </x:c>
      <x:c r="N89" s="4" t="str">
        <x:v>https://huggingface.co/datasets/lmms-eval/Video-MME</x:v>
      </x:c>
    </x:row>
    <x:row r="90" ht="220" customHeight="1">
      <x:c r="A90" s="4" t="str">
        <x:v>P09</x:v>
      </x:c>
      <x:c r="B90" s="4" t="str">
        <x:v>长视频分层稀疏检索</x:v>
      </x:c>
      <x:c r="C90" s="4" t="str">
        <x:v>EgoSchema</x:v>
      </x:c>
      <x:c r="D90" s="4" t="str">
        <x:v>Long-form Video QA</x:v>
      </x:c>
      <x:c r="E90" s="4" t="str">
        <x:v>What is the overarching behavior of C and the man in the video?</x:v>
      </x:c>
      <x:c r="F90" s="4" t="str">
        <x:v>A. C teaches the man game rules but the man seems distracted and is not paying attention.
B. The man teaches C how to play the card game while organizing the deck for future games.
C. C and the man are playing a card game while keeping track of it in a notebook.
D. C shows the man how to properly shuffle cards while the man plays them.
E. The man shows C a new card game while C takes notes for future reference.</x:v>
      </x:c>
      <x:c r="G90" s="4" t="str">
        <x:v>视频中 C 与该男子的整体行为是什么？</x:v>
      </x:c>
      <x:c r="H90" s="4" t="str">
        <x:v>R5</x:v>
      </x:c>
      <x:c r="I90" s="4" t="str">
        <x:v>R5 | R6</x:v>
      </x:c>
      <x:c r="J90" s="4" t="str">
        <x:v>原论文行为概括例题需要跨片段覆盖；隐含动机/社交解释走R6。长视频本身不是独立稀疏检索类。</x:v>
      </x:c>
      <x:c r="K90" s="4" t="str">
        <x:v>论文定义级核对；代表题按工作簿题干分析；未逐题观看视频</x:v>
      </x:c>
      <x:c r="L90" s="4" t="str">
        <x:v>src.egoschema.long_form_video_qa</x:v>
      </x:c>
      <x:c r="M90" s="4" t="str">
        <x:v>https://arxiv.org/pdf/2308.09126</x:v>
      </x:c>
      <x:c r="N90" s="4" t="str">
        <x:v>https://egoschema.github.io/</x:v>
      </x:c>
    </x:row>
    <x:row r="91" ht="66" customHeight="1">
      <x:c r="A91" s="4" t="str">
        <x:v>P09</x:v>
      </x:c>
      <x:c r="B91" s="4" t="str">
        <x:v>长视频分层稀疏检索</x:v>
      </x:c>
      <x:c r="C91" s="4" t="str">
        <x:v>LVBench</x:v>
      </x:c>
      <x:c r="D91" s="4" t="str">
        <x:v>Entity Recognition</x:v>
      </x:c>
      <x:c r="E91" s="4" t="str">
        <x:v>How many sticks does the protagonist put in the incense burner?</x:v>
      </x:c>
      <x:c r="F91" s="4" t="str">
        <x:v>A. 3
B. 2
C. 5
D. 1</x:v>
      </x:c>
      <x:c r="G91" s="4" t="str">
        <x:v>主角在香炉里放了几根香？</x:v>
      </x:c>
      <x:c r="H91" s="4" t="str">
        <x:v>R4</x:v>
      </x:c>
      <x:c r="I91" s="4" t="str">
        <x:v>R1 | R2 | R4 | R6</x:v>
      </x:c>
      <x:c r="J91" s="4" t="str">
        <x:v>6种能力可多标签组合。香的示例问实体根数，需实例去重；追踪/关系样本另分R2/R6。</x:v>
      </x:c>
      <x:c r="K91" s="4" t="str">
        <x:v>论文定义级核对；代表题按工作簿题干分析；未逐题观看视频</x:v>
      </x:c>
      <x:c r="L91" s="4" t="str">
        <x:v>src.lvbench.entity_recognition</x:v>
      </x:c>
      <x:c r="M91" s="4" t="str">
        <x:v>https://arxiv.org/html/2406.08035v3</x:v>
      </x:c>
      <x:c r="N91" s="4" t="str">
        <x:v>https://github.com/zai-org/LVBench</x:v>
      </x:c>
    </x:row>
    <x:row r="92" ht="66" customHeight="1">
      <x:c r="A92" s="4" t="str">
        <x:v>P09</x:v>
      </x:c>
      <x:c r="B92" s="4" t="str">
        <x:v>长视频分层稀疏检索</x:v>
      </x:c>
      <x:c r="C92" s="4" t="str">
        <x:v>LVBench</x:v>
      </x:c>
      <x:c r="D92" s="4" t="str">
        <x:v>Event Understanding</x:v>
      </x:c>
      <x:c r="E92" s="4" t="str">
        <x:v>How is the weather like in the opening?</x:v>
      </x:c>
      <x:c r="F92" s="4" t="str">
        <x:v>A. Cloudy
B. Snowy
C. Sunny
D. Rainy</x:v>
      </x:c>
      <x:c r="G92" s="4" t="str">
        <x:v>开场天气如何？</x:v>
      </x:c>
      <x:c r="H92" s="4" t="str">
        <x:v>R1</x:v>
      </x:c>
      <x:c r="I92" s="4" t="str">
        <x:v>R1 | R3 | R5</x:v>
      </x:c>
      <x:c r="J92" s="4" t="str">
        <x:v>天气示例是开场局部观察；Fig.1换人次数需R3；视频类型/整体流程可能需R5。</x:v>
      </x:c>
      <x:c r="K92" s="4" t="str">
        <x:v>论文定义级核对；代表题按工作簿题干分析；未逐题观看视频</x:v>
      </x:c>
      <x:c r="L92" s="4" t="str">
        <x:v>src.lvbench.event_understanding</x:v>
      </x:c>
      <x:c r="M92" s="4" t="str">
        <x:v>https://arxiv.org/html/2406.08035v3</x:v>
      </x:c>
      <x:c r="N92" s="4" t="str">
        <x:v>https://github.com/zai-org/LVBench</x:v>
      </x:c>
    </x:row>
    <x:row r="93" ht="66" customHeight="1">
      <x:c r="A93" s="4" t="str">
        <x:v>P09</x:v>
      </x:c>
      <x:c r="B93" s="4" t="str">
        <x:v>长视频分层稀疏检索</x:v>
      </x:c>
      <x:c r="C93" s="4" t="str">
        <x:v>LVBench</x:v>
      </x:c>
      <x:c r="D93" s="4" t="str">
        <x:v>Key Information Retrieval</x:v>
      </x:c>
      <x:c r="E93" s="4" t="str">
        <x:v>What year appears in the opening caption of the video?</x:v>
      </x:c>
      <x:c r="F93" s="4" t="str">
        <x:v>A. 1636
B. 1366
C. 1363
D. 1633</x:v>
      </x:c>
      <x:c r="G93" s="4" t="str">
        <x:v>视频开头字幕中显示的是哪一年？</x:v>
      </x:c>
      <x:c r="H93" s="4" t="str">
        <x:v>R1</x:v>
      </x:c>
      <x:c r="I93" s="4" t="str">
        <x:v>R1 | R4 | R8</x:v>
      </x:c>
      <x:c r="J93" s="4" t="str">
        <x:v>片头年份可局部OCR；所有关键词需R4，依据读数计算才R8。</x:v>
      </x:c>
      <x:c r="K93" s="4" t="str">
        <x:v>论文定义级核对；代表题按工作簿题干分析；未逐题观看视频</x:v>
      </x:c>
      <x:c r="L93" s="4" t="str">
        <x:v>src.lvbench.key_information_retrieval</x:v>
      </x:c>
      <x:c r="M93" s="4" t="str">
        <x:v>https://arxiv.org/html/2406.08035v3</x:v>
      </x:c>
      <x:c r="N93" s="4" t="str">
        <x:v>https://github.com/zai-org/LVBench</x:v>
      </x:c>
    </x:row>
    <x:row r="94" ht="80" customHeight="1">
      <x:c r="A94" s="4" t="str">
        <x:v>P09</x:v>
      </x:c>
      <x:c r="B94" s="4" t="str">
        <x:v>长视频分层稀疏检索</x:v>
      </x:c>
      <x:c r="C94" s="4" t="str">
        <x:v>MLVU</x:v>
      </x:c>
      <x:c r="D94" s="4" t="str">
        <x:v>Needle QA</x:v>
      </x:c>
      <x:c r="E94" s="4" t="str">
        <x:v>What is the man in the video doing on the lake shore during the sunny summer?</x:v>
      </x:c>
      <x:c r="F94" s="4" t="str">
        <x:v>A. Swimming
B. Catching the drone
C. Sunbathing
D. Launching the drone</x:v>
      </x:c>
      <x:c r="G94" s="4" t="str">
        <x:v>视频中的男人在阳光明媚的夏天在湖边做什么？</x:v>
      </x:c>
      <x:c r="H94" s="4" t="str">
        <x:v>R1</x:v>
      </x:c>
      <x:c r="I94" s="4" t="str">
        <x:v>R1</x:v>
      </x:c>
      <x:c r="J94" s="4" t="str">
        <x:v>先在背景视频中定位插入needle，再局部问答；长短只是检索配置。</x:v>
      </x:c>
      <x:c r="K94" s="4" t="str">
        <x:v>论文定义级核对；代表题按工作簿题干分析；未逐题观看视频</x:v>
      </x:c>
      <x:c r="L94" s="4" t="str">
        <x:v>src.mlvu.nqa</x:v>
      </x:c>
      <x:c r="M94" s="4" t="str">
        <x:v>https://arxiv.org/html/2406.04264v3</x:v>
      </x:c>
      <x:c r="N94" s="4" t="str">
        <x:v>https://github.com/JUNJIE99/MLVU</x:v>
      </x:c>
    </x:row>
    <x:row r="95" ht="108" customHeight="1">
      <x:c r="A95" s="4" t="str">
        <x:v>P09</x:v>
      </x:c>
      <x:c r="B95" s="4" t="str">
        <x:v>长视频分层稀疏检索</x:v>
      </x:c>
      <x:c r="C95" s="4" t="str">
        <x:v>Video-MME</x:v>
      </x:c>
      <x:c r="D95" s="4" t="str">
        <x:v>Action Recognition</x:v>
      </x:c>
      <x:c r="E95" s="4" t="str">
        <x:v>What is special about the celebration in New York according to the video?</x:v>
      </x:c>
      <x:c r="F95" s="4" t="str">
        <x:v>A. Hosting large parades.
B. Dressing in green and dyeing the river to green.
C. Drinking a lot.
D. Planting shamrocks.</x:v>
      </x:c>
      <x:c r="G95" s="4" t="str">
        <x:v>根据视频，纽约的庆祝活动有什么特别之处？</x:v>
      </x:c>
      <x:c r="H95" s="4" t="str">
        <x:v>R1</x:v>
      </x:c>
      <x:c r="I95" s="4" t="str">
        <x:v>R1 | R2</x:v>
      </x:c>
      <x:c r="J95" s="4" t="str">
        <x:v>识别一次庆祝行为通常是局部事件取证；需动作方向、细粒度过程或区分逆序动作的子题改R2。</x:v>
      </x:c>
      <x:c r="K95" s="4" t="str">
        <x:v>论文定义级核对；代表题按工作簿题干分析；未逐题观看视频</x:v>
      </x:c>
      <x:c r="L95" s="4" t="str">
        <x:v>src.video_mme.action_recognition</x:v>
      </x:c>
      <x:c r="M95" s="4" t="str">
        <x:v>https://arxiv.org/html/2405.21075v3</x:v>
      </x:c>
      <x:c r="N95" s="4" t="str">
        <x:v>https://huggingface.co/datasets/lmms-eval/Video-MME</x:v>
      </x:c>
    </x:row>
    <x:row r="96" ht="80" customHeight="1">
      <x:c r="A96" s="4" t="str">
        <x:v>P09</x:v>
      </x:c>
      <x:c r="B96" s="4" t="str">
        <x:v>长视频分层稀疏检索</x:v>
      </x:c>
      <x:c r="C96" s="4" t="str">
        <x:v>Video-MME</x:v>
      </x:c>
      <x:c r="D96" s="4" t="str">
        <x:v>Object Recognition</x:v>
      </x:c>
      <x:c r="E96" s="4" t="str">
        <x:v>Which of the following features/items is not discussed in the video in relation to the tomb?</x:v>
      </x:c>
      <x:c r="F96" s="4" t="str">
        <x:v>A. Inkstone.
B. Niche.
C. Jade.
D. Sacrificial table.</x:v>
      </x:c>
      <x:c r="G96" s="4" t="str">
        <x:v>关于这座墓葬，视频没有讨论以下哪项特征或物品？</x:v>
      </x:c>
      <x:c r="H96" s="4" t="str">
        <x:v>R4</x:v>
      </x:c>
      <x:c r="I96" s="4" t="str">
        <x:v>R1 | R4</x:v>
      </x:c>
      <x:c r="J96" s="4" t="str">
        <x:v>代表题问墓葬哪些特征/物品未被讨论，是限定话题的排除清单，不是找到一个物体即可停止。普通目标识别仍R1。</x:v>
      </x:c>
      <x:c r="K96" s="4" t="str">
        <x:v>论文定义级核对；代表题按工作簿题干分析；未逐题观看视频</x:v>
      </x:c>
      <x:c r="L96" s="4" t="str">
        <x:v>src.video_mme.object_recognition</x:v>
      </x:c>
      <x:c r="M96" s="4" t="str">
        <x:v>https://arxiv.org/html/2405.21075v3</x:v>
      </x:c>
      <x:c r="N96" s="4" t="str">
        <x:v>https://huggingface.co/datasets/lmms-eval/Video-MME</x:v>
      </x:c>
    </x:row>
    <x:row r="97" ht="80" customHeight="1">
      <x:c r="A97" s="4" t="str">
        <x:v>P09</x:v>
      </x:c>
      <x:c r="B97" s="4" t="str">
        <x:v>长视频分层稀疏检索</x:v>
      </x:c>
      <x:c r="C97" s="4" t="str">
        <x:v>Video-MME</x:v>
      </x:c>
      <x:c r="D97" s="4" t="str">
        <x:v>Temporal Perception</x:v>
      </x:c>
      <x:c r="E97" s="4" t="str">
        <x:v>According to the video, which of the following is considered the earliest stage of human evolution?</x:v>
      </x:c>
      <x:c r="F97" s="4" t="str">
        <x:v>A. Ramapithecus.
B. Dryopithecus.
C. Ardipithecus Ramidus.
D. Homo Sapiens.</x:v>
      </x:c>
      <x:c r="G97" s="4" t="str">
        <x:v>根据视频，以下哪一项被认为是人类进化的最早阶段？</x:v>
      </x:c>
      <x:c r="H97" s="4" t="str">
        <x:v>R1</x:v>
      </x:c>
      <x:c r="I97" s="4" t="str">
        <x:v>R1 | R3 | R8</x:v>
      </x:c>
      <x:c r="J97" s="4" t="str">
        <x:v>最早人类演化阶段是内容中的语义年代，不等于在视频中最先出现。若视频明示读R1；事件出现顺序R3；读取年代后比较可R8。代表题归类仍需视频证据确认。</x:v>
      </x:c>
      <x:c r="K97" s="4" t="str">
        <x:v>论文定义级核对；代表题按工作簿题干分析；未逐题观看视频；样本执行归类待证据确认</x:v>
      </x:c>
      <x:c r="L97" s="4" t="str">
        <x:v>src.video_mme.temporal_perception</x:v>
      </x:c>
      <x:c r="M97" s="4" t="str">
        <x:v>https://arxiv.org/html/2405.21075v3</x:v>
      </x:c>
      <x:c r="N97" s="4" t="str">
        <x:v>https://huggingface.co/datasets/lmms-eval/Video-MME</x:v>
      </x:c>
    </x:row>
    <x:row r="98" ht="220" customHeight="1">
      <x:c r="A98" s="4" t="str">
        <x:v>P10</x:v>
      </x:c>
      <x:c r="B98" s="4" t="str">
        <x:v>全覆盖分段综合</x:v>
      </x:c>
      <x:c r="C98" s="4" t="str">
        <x:v>EgoSchema</x:v>
      </x:c>
      <x:c r="D98" s="4" t="str">
        <x:v>Long-form Video QA</x:v>
      </x:c>
      <x:c r="E98" s="4" t="str">
        <x:v>What is the overarching behavior of C and the man in the video?</x:v>
      </x:c>
      <x:c r="F98" s="4" t="str">
        <x:v>A. C teaches the man game rules but the man seems distracted and is not paying attention.
B. The man teaches C how to play the card game while organizing the deck for future games.
C. C and the man are playing a card game while keeping track of it in a notebook.
D. C shows the man how to properly shuffle cards while the man plays them.
E. The man shows C a new card game while C takes notes for future reference.</x:v>
      </x:c>
      <x:c r="G98" s="4" t="str">
        <x:v>视频中 C 与该男子的整体行为是什么？</x:v>
      </x:c>
      <x:c r="H98" s="4" t="str">
        <x:v>R5</x:v>
      </x:c>
      <x:c r="I98" s="4" t="str">
        <x:v>R5 | R6</x:v>
      </x:c>
      <x:c r="J98" s="4" t="str">
        <x:v>原论文行为概括例题需要跨片段覆盖；隐含动机/社交解释走R6。长视频本身不是独立稀疏检索类。</x:v>
      </x:c>
      <x:c r="K98" s="4" t="str">
        <x:v>论文定义级核对；代表题按工作簿题干分析；未逐题观看视频</x:v>
      </x:c>
      <x:c r="L98" s="4" t="str">
        <x:v>src.egoschema.long_form_video_qa</x:v>
      </x:c>
      <x:c r="M98" s="4" t="str">
        <x:v>https://arxiv.org/pdf/2308.09126</x:v>
      </x:c>
      <x:c r="N98" s="4" t="str">
        <x:v>https://egoschema.github.io/</x:v>
      </x:c>
    </x:row>
    <x:row r="99" ht="318" customHeight="1">
      <x:c r="A99" s="4" t="str">
        <x:v>P10</x:v>
      </x:c>
      <x:c r="B99" s="4" t="str">
        <x:v>全覆盖分段综合</x:v>
      </x:c>
      <x:c r="C99" s="4" t="str">
        <x:v>LVBench</x:v>
      </x:c>
      <x:c r="D99" s="4" t="str">
        <x:v>Summarization</x:v>
      </x:c>
      <x:c r="E99" s="4" t="str">
        <x:v>After the man with the gun threatens the cook, what does the protagonist do?</x:v>
      </x:c>
      <x:c r="F99" s="4" t="str">
        <x:v>A. The protagonist pushes the table aside and stands up, confronting the man. After a series of quarrels, she kills the man and leaves the restaurant. The chef follows her
B. The protagonist pushes the table aside and stands up, confronting the man. After a series of quarrels, she injuries  the man and leaves the restaurant. The chef follows her
C. The protagonist pushes the table aside and stands up, taking out her gun and pointing at the man. After a series of quarrels, she kills the man and leaves the restaurant. The chef follows her
D. The protagonist pushes the table aside and stands up, taking out her gun and pointing at the man. After a series of quarrels, she kills the man and leaves the restaurant</x:v>
      </x:c>
      <x:c r="G99" s="4" t="str">
        <x:v>拿枪的人威胁厨师后，主角怎么办？</x:v>
      </x:c>
      <x:c r="H99" s="4" t="str">
        <x:v>R1</x:v>
      </x:c>
      <x:c r="I99" s="4" t="str">
        <x:v>R1 | R5 | R6</x:v>
      </x:c>
      <x:c r="J99" s="4" t="str">
        <x:v>原生总括定义以R5为主；表内示例只问威胁之后主角做什么，更像锚点后局部事件，不证明P10/P11都必要。</x:v>
      </x:c>
      <x:c r="K99" s="4" t="str">
        <x:v>论文定义级核对；代表题按工作簿题干分析；未逐题观看视频</x:v>
      </x:c>
      <x:c r="L99" s="4" t="str">
        <x:v>src.lvbench.summarization</x:v>
      </x:c>
      <x:c r="M99" s="4" t="str">
        <x:v>https://arxiv.org/html/2406.08035v3</x:v>
      </x:c>
      <x:c r="N99" s="4" t="str">
        <x:v>https://github.com/zai-org/LVBench</x:v>
      </x:c>
    </x:row>
    <x:row r="100" ht="108" customHeight="1">
      <x:c r="A100" s="4" t="str">
        <x:v>P10</x:v>
      </x:c>
      <x:c r="B100" s="4" t="str">
        <x:v>全覆盖分段综合</x:v>
      </x:c>
      <x:c r="C100" s="4" t="str">
        <x:v>MLVU</x:v>
      </x:c>
      <x:c r="D100" s="4" t="str">
        <x:v>Topic Reasoning</x:v>
      </x:c>
      <x:c r="E100" s="4" t="str">
        <x:v>What is the person in the game doing?</x:v>
      </x:c>
      <x:c r="F100" s="4" t="str">
        <x:v>A. Fighting with a game boss
B. Building an automatic farm
C. Exploring a haunted house
D. Designing a character's outfit</x:v>
      </x:c>
      <x:c r="G100" s="4" t="str">
        <x:v>游戏中的人正在做什么？</x:v>
      </x:c>
      <x:c r="H100" s="4" t="str">
        <x:v>R5</x:v>
      </x:c>
      <x:c r="I100" s="4" t="str">
        <x:v>R5</x:v>
      </x:c>
      <x:c r="J100" s="4" t="str">
        <x:v>概括全片游戏主要目标/类型；不是见到任意局部动作即结束。</x:v>
      </x:c>
      <x:c r="K100" s="4" t="str">
        <x:v>论文定义级核对；代表题按工作簿题干分析；未逐题观看视频</x:v>
      </x:c>
      <x:c r="L100" s="4" t="str">
        <x:v>src.mlvu.tr</x:v>
      </x:c>
      <x:c r="M100" s="4" t="str">
        <x:v>https://arxiv.org/html/2406.04264v3</x:v>
      </x:c>
      <x:c r="N100" s="4" t="str">
        <x:v>https://github.com/JUNJIE99/MLVU</x:v>
      </x:c>
    </x:row>
    <x:row r="101" ht="46" customHeight="1">
      <x:c r="A101" s="4" t="str">
        <x:v>P10</x:v>
      </x:c>
      <x:c r="B101" s="4" t="str">
        <x:v>全覆盖分段综合</x:v>
      </x:c>
      <x:c r="C101" s="4" t="str">
        <x:v>MLVU</x:v>
      </x:c>
      <x:c r="D101" s="4" t="str">
        <x:v>Video Summarization</x:v>
      </x:c>
      <x:c r="E101" s="4" t="str">
        <x:v>Please summarize the main content of this video.</x:v>
      </x:c>
      <x:c r="F101" s="4" t="str">
        <x:v>不适用（开放文本生成题）</x:v>
      </x:c>
      <x:c r="G101" s="4" t="str">
        <x:v>请总结本视频的主要内容。</x:v>
      </x:c>
      <x:c r="H101" s="4" t="str">
        <x:v>R5</x:v>
      </x:c>
      <x:c r="I101" s="4" t="str">
        <x:v>R5</x:v>
      </x:c>
      <x:c r="J101" s="4" t="str">
        <x:v>分段保留关键事件后综合摘要；保留官方生成评估。</x:v>
      </x:c>
      <x:c r="K101" s="4" t="str">
        <x:v>论文定义级核对；代表题按工作簿题干分析；未逐题观看视频</x:v>
      </x:c>
      <x:c r="L101" s="4" t="str">
        <x:v>src.mlvu.vs</x:v>
      </x:c>
      <x:c r="M101" s="4" t="str">
        <x:v>https://arxiv.org/html/2406.04264v3</x:v>
      </x:c>
      <x:c r="N101" s="4" t="str">
        <x:v>https://github.com/JUNJIE99/MLVU</x:v>
      </x:c>
    </x:row>
    <x:row r="102" ht="164" customHeight="1">
      <x:c r="A102" s="4" t="str">
        <x:v>P10</x:v>
      </x:c>
      <x:c r="B102" s="4" t="str">
        <x:v>全覆盖分段综合</x:v>
      </x:c>
      <x:c r="C102" s="4" t="str">
        <x:v>Video-MME</x:v>
      </x:c>
      <x:c r="D102" s="4" t="str">
        <x:v>Information Synopsis</x:v>
      </x:c>
      <x:c r="E102" s="4" t="str">
        <x:v>What is the genre of this video?</x:v>
      </x:c>
      <x:c r="F102" s="4" t="str">
        <x:v>A. It is a news report that introduces the history behind Christmas decorations.
B. It is a documentary on the evolution of Christmas holiday recipes.
C. It is a travel vlog exploring Christmas markets around the world.
D. It is a tutorial on DIY Christmas ornament crafting.</x:v>
      </x:c>
      <x:c r="G102" s="4" t="str">
        <x:v>这段视频属于什么题材或类型？</x:v>
      </x:c>
      <x:c r="H102" s="4" t="str">
        <x:v>R5</x:v>
      </x:c>
      <x:c r="I102" s="4" t="str">
        <x:v>R4 | R5 | R6</x:v>
      </x:c>
      <x:c r="J102" s="4" t="str">
        <x:v>视频体裁、主旨或整体内容需要覆盖相关全片；实体列表走R4，隐喻/深层寓意走R6。</x:v>
      </x:c>
      <x:c r="K102" s="4" t="str">
        <x:v>论文定义级核对；代表题按工作簿题干分析；未逐题观看视频</x:v>
      </x:c>
      <x:c r="L102" s="4" t="str">
        <x:v>src.video_mme.information_synopsis</x:v>
      </x:c>
      <x:c r="M102" s="4" t="str">
        <x:v>https://arxiv.org/html/2405.21075v3</x:v>
      </x:c>
      <x:c r="N102" s="4" t="str">
        <x:v>https://huggingface.co/datasets/lmms-eval/Video-MME</x:v>
      </x:c>
    </x:row>
    <x:row r="103" ht="248" customHeight="1">
      <x:c r="A103" s="4" t="str">
        <x:v>P10</x:v>
      </x:c>
      <x:c r="B103" s="4" t="str">
        <x:v>全覆盖分段综合</x:v>
      </x:c>
      <x:c r="C103" s="4" t="str">
        <x:v>Video-MME-v2</x:v>
      </x:c>
      <x:c r="D103" s="4" t="str">
        <x:v>Symbolic/Metaphorical Interpretation</x:v>
      </x:c>
      <x:c r="E103" s="4" t="str">
        <x:v>What is the short film about?</x:v>
      </x:c>
      <x:c r="F103" s="4" t="str">
        <x:v>A. Racial discrimination.
B. Religious conflict.
C. Cosplay as a means of psychological healing.
D. Career dilemmas and breakthroughs of independent fashion designers.
E. The complex psychological struggle of grieving a lost family member.
F. The conflict between traditional values and modern fashion.
G. Generational gap.
H. Gender inequality.</x:v>
      </x:c>
      <x:c r="G103" s="4" t="str">
        <x:v>这部短片是关于什么的？</x:v>
      </x:c>
      <x:c r="H103" s="4" t="str">
        <x:v>R6</x:v>
      </x:c>
      <x:c r="I103" s="4" t="str">
        <x:v>R5 | R6</x:v>
      </x:c>
      <x:c r="J103" s="4" t="str">
        <x:v>短片表达的隐喻/寓意需要事实与抽象含义的关系推断；仅复述剧情/体裁走R5。</x:v>
      </x:c>
      <x:c r="K103" s="4" t="str">
        <x:v>论文定义级核对；代表题按工作簿题干分析；未逐题观看视频</x:v>
      </x:c>
      <x:c r="L103" s="4" t="str">
        <x:v>src.video_mme_v2.symbolic_metaphorical_interpretation</x:v>
      </x:c>
      <x:c r="M103" s="4" t="str">
        <x:v>https://arxiv.org/pdf/2604.05015</x:v>
      </x:c>
      <x:c r="N103" s="4" t="str">
        <x:v>https://huggingface.co/datasets/MME-Benchmarks/Video-MME-v2</x:v>
      </x:c>
    </x:row>
    <x:row r="104" ht="66" customHeight="1">
      <x:c r="A104" s="4" t="str">
        <x:v>P11</x:v>
      </x:c>
      <x:c r="B104" s="4" t="str">
        <x:v>证据图多跳推理</x:v>
      </x:c>
      <x:c r="C104" s="4" t="str">
        <x:v>EgoLifeQA</x:v>
      </x:c>
      <x:c r="D104" s="4" t="str">
        <x:v>RelationMap</x:v>
      </x:c>
      <x:c r="E104" s="4" t="str">
        <x:v>Shure is playing the guitar now. Who else usually joins us playing guitar together?</x:v>
      </x:c>
      <x:c r="F104" s="4" t="str">
        <x:v>A. Choizst
B. Jake
C. Nicous
D. Lucia</x:v>
      </x:c>
      <x:c r="G104" s="4" t="str">
        <x:v>舒尔现在正在弹吉他。还有谁经常和我们一起弹吉他？</x:v>
      </x:c>
      <x:c r="H104" s="4" t="str">
        <x:v>R3</x:v>
      </x:c>
      <x:c r="I104" s="4" t="str">
        <x:v>R1 | R3 | R6</x:v>
      </x:c>
      <x:c r="J104" s="4" t="str">
        <x:v>Fig.5以共同弹吉他的频次比较人物；人际统计不等同社会心理推理。明示身份R1，频次R3，隐含关系R6。</x:v>
      </x:c>
      <x:c r="K104" s="4" t="str">
        <x:v>论文定义级核对；代表题按工作簿题干分析；未逐题观看视频</x:v>
      </x:c>
      <x:c r="L104" s="4" t="str">
        <x:v>src.egolifeqa.relationmap</x:v>
      </x:c>
      <x:c r="M104" s="4" t="str">
        <x:v>https://arxiv.org/html/2503.03803v2</x:v>
      </x:c>
      <x:c r="N104" s="4" t="str">
        <x:v>https://github.com/evolvinglmms-lab/egolife</x:v>
      </x:c>
    </x:row>
    <x:row r="105" ht="220" customHeight="1">
      <x:c r="A105" s="4" t="str">
        <x:v>P11</x:v>
      </x:c>
      <x:c r="B105" s="4" t="str">
        <x:v>证据图多跳推理</x:v>
      </x:c>
      <x:c r="C105" s="4" t="str">
        <x:v>EgoSchema</x:v>
      </x:c>
      <x:c r="D105" s="4" t="str">
        <x:v>Long-form Video QA</x:v>
      </x:c>
      <x:c r="E105" s="4" t="str">
        <x:v>What is the overarching behavior of C and the man in the video?</x:v>
      </x:c>
      <x:c r="F105" s="4" t="str">
        <x:v>A. C teaches the man game rules but the man seems distracted and is not paying attention.
B. The man teaches C how to play the card game while organizing the deck for future games.
C. C and the man are playing a card game while keeping track of it in a notebook.
D. C shows the man how to properly shuffle cards while the man plays them.
E. The man shows C a new card game while C takes notes for future reference.</x:v>
      </x:c>
      <x:c r="G105" s="4" t="str">
        <x:v>视频中 C 与该男子的整体行为是什么？</x:v>
      </x:c>
      <x:c r="H105" s="4" t="str">
        <x:v>R5</x:v>
      </x:c>
      <x:c r="I105" s="4" t="str">
        <x:v>R5 | R6</x:v>
      </x:c>
      <x:c r="J105" s="4" t="str">
        <x:v>原论文行为概括例题需要跨片段覆盖；隐含动机/社交解释走R6。长视频本身不是独立稀疏检索类。</x:v>
      </x:c>
      <x:c r="K105" s="4" t="str">
        <x:v>论文定义级核对；代表题按工作簿题干分析；未逐题观看视频</x:v>
      </x:c>
      <x:c r="L105" s="4" t="str">
        <x:v>src.egoschema.long_form_video_qa</x:v>
      </x:c>
      <x:c r="M105" s="4" t="str">
        <x:v>https://arxiv.org/pdf/2308.09126</x:v>
      </x:c>
      <x:c r="N105" s="4" t="str">
        <x:v>https://egoschema.github.io/</x:v>
      </x:c>
    </x:row>
    <x:row r="106" ht="94" customHeight="1">
      <x:c r="A106" s="4" t="str">
        <x:v>P11</x:v>
      </x:c>
      <x:c r="B106" s="4" t="str">
        <x:v>证据图多跳推理</x:v>
      </x:c>
      <x:c r="C106" s="4" t="str">
        <x:v>LVBench</x:v>
      </x:c>
      <x:c r="D106" s="4" t="str">
        <x:v>Reasoning</x:v>
      </x:c>
      <x:c r="E106" s="4" t="str">
        <x:v>Why are the mother and child, who line in front of the protagonist, unable to enter the city?</x:v>
      </x:c>
      <x:c r="F106" s="4" t="str">
        <x:v>A. They do not bribe the guard
B. They are foreigners
C. They bring illegal weapons
D. They do not have a pass</x:v>
      </x:c>
      <x:c r="G106" s="4" t="str">
        <x:v>排在主角前面的母子为什么不能进城？</x:v>
      </x:c>
      <x:c r="H106" s="4" t="str">
        <x:v>R6</x:v>
      </x:c>
      <x:c r="I106" s="4" t="str">
        <x:v>R1 | R6 | R7</x:v>
      </x:c>
      <x:c r="J106" s="4" t="str">
        <x:v>母子不能进城的原因需证据支撑；明示原因可R1；原定义也含未来预测，需R7分支。</x:v>
      </x:c>
      <x:c r="K106" s="4" t="str">
        <x:v>论文定义级核对；代表题按工作簿题干分析；未逐题观看视频</x:v>
      </x:c>
      <x:c r="L106" s="4" t="str">
        <x:v>src.lvbench.reasoning</x:v>
      </x:c>
      <x:c r="M106" s="4" t="str">
        <x:v>https://arxiv.org/html/2406.08035v3</x:v>
      </x:c>
      <x:c r="N106" s="4" t="str">
        <x:v>https://github.com/zai-org/LVBench</x:v>
      </x:c>
    </x:row>
    <x:row r="107" ht="318" customHeight="1">
      <x:c r="A107" s="4" t="str">
        <x:v>P11</x:v>
      </x:c>
      <x:c r="B107" s="4" t="str">
        <x:v>证据图多跳推理</x:v>
      </x:c>
      <x:c r="C107" s="4" t="str">
        <x:v>LVBench</x:v>
      </x:c>
      <x:c r="D107" s="4" t="str">
        <x:v>Summarization</x:v>
      </x:c>
      <x:c r="E107" s="4" t="str">
        <x:v>After the man with the gun threatens the cook, what does the protagonist do?</x:v>
      </x:c>
      <x:c r="F107" s="4" t="str">
        <x:v>A. The protagonist pushes the table aside and stands up, confronting the man. After a series of quarrels, she kills the man and leaves the restaurant. The chef follows her
B. The protagonist pushes the table aside and stands up, confronting the man. After a series of quarrels, she injuries  the man and leaves the restaurant. The chef follows her
C. The protagonist pushes the table aside and stands up, taking out her gun and pointing at the man. After a series of quarrels, she kills the man and leaves the restaurant. The chef follows her
D. The protagonist pushes the table aside and stands up, taking out her gun and pointing at the man. After a series of quarrels, she kills the man and leaves the restaurant</x:v>
      </x:c>
      <x:c r="G107" s="4" t="str">
        <x:v>拿枪的人威胁厨师后，主角怎么办？</x:v>
      </x:c>
      <x:c r="H107" s="4" t="str">
        <x:v>R1</x:v>
      </x:c>
      <x:c r="I107" s="4" t="str">
        <x:v>R1 | R5 | R6</x:v>
      </x:c>
      <x:c r="J107" s="4" t="str">
        <x:v>原生总括定义以R5为主；表内示例只问威胁之后主角做什么，更像锚点后局部事件，不证明P10/P11都必要。</x:v>
      </x:c>
      <x:c r="K107" s="4" t="str">
        <x:v>论文定义级核对；代表题按工作簿题干分析；未逐题观看视频</x:v>
      </x:c>
      <x:c r="L107" s="4" t="str">
        <x:v>src.lvbench.summarization</x:v>
      </x:c>
      <x:c r="M107" s="4" t="str">
        <x:v>https://arxiv.org/html/2406.08035v3</x:v>
      </x:c>
      <x:c r="N107" s="4" t="str">
        <x:v>https://github.com/zai-org/LVBench</x:v>
      </x:c>
    </x:row>
    <x:row r="108" ht="80" customHeight="1">
      <x:c r="A108" s="4" t="str">
        <x:v>P11</x:v>
      </x:c>
      <x:c r="B108" s="4" t="str">
        <x:v>证据图多跳推理</x:v>
      </x:c>
      <x:c r="C108" s="4" t="str">
        <x:v>MLVU</x:v>
      </x:c>
      <x:c r="D108" s="4" t="str">
        <x:v>Ego Reasoning</x:v>
      </x:c>
      <x:c r="E108" s="4" t="str">
        <x:v>Where was the baking glove before I hung it on the hook?</x:v>
      </x:c>
      <x:c r="F108" s="4" t="str">
        <x:v>A. On the kitchen count
B. By the window
C. On the oven
D. In the dishwasher</x:v>
      </x:c>
      <x:c r="G108" s="4" t="str">
        <x:v>在我把它挂在钩子上之前，烘焙手套在哪里？</x:v>
      </x:c>
      <x:c r="H108" s="4" t="str">
        <x:v>R1</x:v>
      </x:c>
      <x:c r="I108" s="4" t="str">
        <x:v>R1 | R2 | R6</x:v>
      </x:c>
      <x:c r="J108" s="4" t="str">
        <x:v>Fig.2问挂手套之前放哪里，是锚点之前状态检索；必要时同一实体关联；原因解释才R6。</x:v>
      </x:c>
      <x:c r="K108" s="4" t="str">
        <x:v>论文定义级核对；代表题按工作簿题干分析；未逐题观看视频</x:v>
      </x:c>
      <x:c r="L108" s="4" t="str">
        <x:v>src.mlvu.er</x:v>
      </x:c>
      <x:c r="M108" s="4" t="str">
        <x:v>https://arxiv.org/html/2406.04264v3</x:v>
      </x:c>
      <x:c r="N108" s="4" t="str">
        <x:v>https://github.com/JUNJIE99/MLVU</x:v>
      </x:c>
    </x:row>
    <x:row r="109" ht="66" customHeight="1">
      <x:c r="A109" s="4" t="str">
        <x:v>P11</x:v>
      </x:c>
      <x:c r="B109" s="4" t="str">
        <x:v>证据图多跳推理</x:v>
      </x:c>
      <x:c r="C109" s="4" t="str">
        <x:v>MLVU</x:v>
      </x:c>
      <x:c r="D109" s="4" t="str">
        <x:v>Plot QA</x:v>
      </x:c>
      <x:c r="E109" s="4" t="str">
        <x:v>What does the cartoon mouse use to hit the cartoon cat?</x:v>
      </x:c>
      <x:c r="F109" s="4" t="str">
        <x:v>A. Stick
B. Stone
C. Vase
D. Hammer</x:v>
      </x:c>
      <x:c r="G109" s="4" t="str">
        <x:v>卡通老鼠用什么东西击打卡通猫？</x:v>
      </x:c>
      <x:c r="H109" s="4" t="str">
        <x:v>R1</x:v>
      </x:c>
      <x:c r="I109" s="4" t="str">
        <x:v>R1 | R6</x:v>
      </x:c>
      <x:c r="J109" s="4" t="str">
        <x:v>Fig.2猫鼠例题问所用物体；局部取证可解，不应因Plot就强制多跳图。</x:v>
      </x:c>
      <x:c r="K109" s="4" t="str">
        <x:v>论文定义级核对；代表题按工作簿题干分析；未逐题观看视频</x:v>
      </x:c>
      <x:c r="L109" s="4" t="str">
        <x:v>src.mlvu.pqa</x:v>
      </x:c>
      <x:c r="M109" s="4" t="str">
        <x:v>https://arxiv.org/html/2406.04264v3</x:v>
      </x:c>
      <x:c r="N109" s="4" t="str">
        <x:v>https://github.com/JUNJIE99/MLVU</x:v>
      </x:c>
    </x:row>
    <x:row r="110" ht="136" customHeight="1">
      <x:c r="A110" s="4" t="str">
        <x:v>P11</x:v>
      </x:c>
      <x:c r="B110" s="4" t="str">
        <x:v>证据图多跳推理</x:v>
      </x:c>
      <x:c r="C110" s="4" t="str">
        <x:v>MVBench</x:v>
      </x:c>
      <x:c r="D110" s="4" t="str">
        <x:v>Episodic Reasoning</x:v>
      </x:c>
      <x:c r="E110" s="4" t="str">
        <x:v>Why did Castle dress like a fairy when he was speaking to Emily?</x:v>
      </x:c>
      <x:c r="F110" s="4" t="str">
        <x:v>A. To get her to trust him.
B. He secretly loved fairies.
C. He lost a bet with Emily.
D. It was dressed like a fairy day at school.
E. Mrs Ruiz made him dress up.</x:v>
      </x:c>
      <x:c r="G110" s="4" t="str">
        <x:v>Castle 在与 Emily 交谈时为什么打扮成仙女？</x:v>
      </x:c>
      <x:c r="H110" s="4" t="str">
        <x:v>R6</x:v>
      </x:c>
      <x:c r="I110" s="4" t="str">
        <x:v>R1 | R6</x:v>
      </x:c>
      <x:c r="J110" s="4" t="str">
        <x:v>围绕剧中原因/人物关系推断；直接台词解释可退化R1。</x:v>
      </x:c>
      <x:c r="K110" s="4" t="str">
        <x:v>论文定义级核对；代表题按工作簿题干分析；未逐题观看视频</x:v>
      </x:c>
      <x:c r="L110" s="4" t="str">
        <x:v>src.mvbench.episodic_reasoning</x:v>
      </x:c>
      <x:c r="M110" s="4" t="str">
        <x:v>https://arxiv.org/pdf/2311.17005</x:v>
      </x:c>
      <x:c r="N110" s="4" t="str">
        <x:v>https://huggingface.co/datasets/OpenGVLab/MVBench</x:v>
      </x:c>
    </x:row>
    <x:row r="111" ht="80" customHeight="1">
      <x:c r="A111" s="4" t="str">
        <x:v>P11</x:v>
      </x:c>
      <x:c r="B111" s="4" t="str">
        <x:v>证据图多跳推理</x:v>
      </x:c>
      <x:c r="C111" s="4" t="str">
        <x:v>MVBench</x:v>
      </x:c>
      <x:c r="D111" s="4" t="str">
        <x:v>Object Interaction</x:v>
      </x:c>
      <x:c r="E111" s="4" t="str">
        <x:v>Which object was tidied up by the person?</x:v>
      </x:c>
      <x:c r="F111" s="4" t="str">
        <x:v>A. broom
B. cabinet
C. blanket
D. table</x:v>
      </x:c>
      <x:c r="G111" s="4" t="str">
        <x:v>哪个物体被人收拾了？</x:v>
      </x:c>
      <x:c r="H111" s="4" t="str">
        <x:v>R1</x:v>
      </x:c>
      <x:c r="I111" s="4" t="str">
        <x:v>R1 | R2 | R6</x:v>
      </x:c>
      <x:c r="J111" s="4" t="str">
        <x:v>识别被整理的物体是局部主体-动作-客体绑定，不自动是多跳推理。</x:v>
      </x:c>
      <x:c r="K111" s="4" t="str">
        <x:v>论文定义级核对；代表题按工作簿题干分析；未逐题观看视频</x:v>
      </x:c>
      <x:c r="L111" s="4" t="str">
        <x:v>src.mvbench.object_interaction</x:v>
      </x:c>
      <x:c r="M111" s="4" t="str">
        <x:v>https://arxiv.org/pdf/2311.17005</x:v>
      </x:c>
      <x:c r="N111" s="4" t="str">
        <x:v>https://huggingface.co/datasets/OpenGVLab/MVBench</x:v>
      </x:c>
    </x:row>
    <x:row r="112" ht="136" customHeight="1">
      <x:c r="A112" s="4" t="str">
        <x:v>P11</x:v>
      </x:c>
      <x:c r="B112" s="4" t="str">
        <x:v>证据图多跳推理</x:v>
      </x:c>
      <x:c r="C112" s="4" t="str">
        <x:v>Video-MME</x:v>
      </x:c>
      <x:c r="D112" s="4" t="str">
        <x:v>Action Reasoning</x:v>
      </x:c>
      <x:c r="E112" s="4" t="str">
        <x:v>Which of the following reasons motivated the archaeologists to excavate the tomb?</x:v>
      </x:c>
      <x:c r="F112" s="4" t="str">
        <x:v>A. Because it's from Ming Dynasty and of specific archaeological significance.
B. Because a new railway line will be built nearby.
C. Because there were treasures inside the tomb.
D. Highway realignment.</x:v>
      </x:c>
      <x:c r="G112" s="4" t="str">
        <x:v>以下哪一项原因促使考古学家发掘这座墓葬？</x:v>
      </x:c>
      <x:c r="H112" s="4" t="str">
        <x:v>R6</x:v>
      </x:c>
      <x:c r="I112" s="4" t="str">
        <x:v>R1 | R6</x:v>
      </x:c>
      <x:c r="J112" s="4" t="str">
        <x:v>动机题若视频直接讲明，走R1；若需结合人物行为与背景才能推出，走R6。不能因Reasoning一词或专业背景统一归入符号求解。</x:v>
      </x:c>
      <x:c r="K112" s="4" t="str">
        <x:v>论文定义级核对；代表题按工作簿题干分析；未逐题观看视频</x:v>
      </x:c>
      <x:c r="L112" s="4" t="str">
        <x:v>src.video_mme.action_reasoning</x:v>
      </x:c>
      <x:c r="M112" s="4" t="str">
        <x:v>https://arxiv.org/html/2405.21075v3</x:v>
      </x:c>
      <x:c r="N112" s="4" t="str">
        <x:v>https://huggingface.co/datasets/lmms-eval/Video-MME</x:v>
      </x:c>
    </x:row>
    <x:row r="113" ht="122" customHeight="1">
      <x:c r="A113" s="4" t="str">
        <x:v>P11</x:v>
      </x:c>
      <x:c r="B113" s="4" t="str">
        <x:v>证据图多跳推理</x:v>
      </x:c>
      <x:c r="C113" s="4" t="str">
        <x:v>Video-MME</x:v>
      </x:c>
      <x:c r="D113" s="4" t="str">
        <x:v>Attribute Perception</x:v>
      </x:c>
      <x:c r="E113" s="4" t="str">
        <x:v>Which of the following options is incorrect regarding the events in Sarajevo depicted in the video?</x:v>
      </x:c>
      <x:c r="F113" s="4" t="str">
        <x:v>A. It was organized by the Black Hand in Serbia.
B. Ferdinand was sitting on the left side of the car.
C. Ferdinand was wearing a white hat.
D. The killer was wearing black suit.</x:v>
      </x:c>
      <x:c r="G113" s="4" t="str">
        <x:v>关于视频所描述的萨拉热窝事件，以下哪个选项是不正确的？</x:v>
      </x:c>
      <x:c r="H113" s="4" t="str">
        <x:v>R6</x:v>
      </x:c>
      <x:c r="I113" s="4" t="str">
        <x:v>R1 | R4 | R6</x:v>
      </x:c>
      <x:c r="J113" s="4" t="str">
        <x:v>代表题是跨陈述判断哪项不正确，需要逐项证据核验；单一属性读取走R1，穷举属性/缺失项走R4。</x:v>
      </x:c>
      <x:c r="K113" s="4" t="str">
        <x:v>论文定义级核对；代表题按工作簿题干分析；未逐题观看视频</x:v>
      </x:c>
      <x:c r="L113" s="4" t="str">
        <x:v>src.video_mme.attribute_perception</x:v>
      </x:c>
      <x:c r="M113" s="4" t="str">
        <x:v>https://arxiv.org/html/2405.21075v3</x:v>
      </x:c>
      <x:c r="N113" s="4" t="str">
        <x:v>https://huggingface.co/datasets/lmms-eval/Video-MME</x:v>
      </x:c>
    </x:row>
    <x:row r="114" ht="80" customHeight="1">
      <x:c r="A114" s="4" t="str">
        <x:v>P11</x:v>
      </x:c>
      <x:c r="B114" s="4" t="str">
        <x:v>证据图多跳推理</x:v>
      </x:c>
      <x:c r="C114" s="4" t="str">
        <x:v>Video-MME</x:v>
      </x:c>
      <x:c r="D114" s="4" t="str">
        <x:v>Object Reasoning</x:v>
      </x:c>
      <x:c r="E114" s="4" t="str">
        <x:v>In which country is the food featured in the video recognized worldwide?</x:v>
      </x:c>
      <x:c r="F114" s="4" t="str">
        <x:v>A. Mongolia.
B. Russia.
C. Germany.
D. United States.</x:v>
      </x:c>
      <x:c r="G114" s="4" t="str">
        <x:v>视频中展示的食物在哪个国家享誉全球？</x:v>
      </x:c>
      <x:c r="H114" s="4" t="str">
        <x:v>R6</x:v>
      </x:c>
      <x:c r="I114" s="4" t="str">
        <x:v>R1 | R6</x:v>
      </x:c>
      <x:c r="J114" s="4" t="str">
        <x:v>食物对应国家可能由解说直接提供，也可能需知识联系；仅凭题干无法确定真实证据负担，代表题暂列条件性R6，明示则R1。</x:v>
      </x:c>
      <x:c r="K114" s="4" t="str">
        <x:v>论文定义级核对；代表题按工作簿题干分析；未逐题观看视频；样本执行归类待证据确认</x:v>
      </x:c>
      <x:c r="L114" s="4" t="str">
        <x:v>src.video_mme.object_reasoning</x:v>
      </x:c>
      <x:c r="M114" s="4" t="str">
        <x:v>https://arxiv.org/html/2405.21075v3</x:v>
      </x:c>
      <x:c r="N114" s="4" t="str">
        <x:v>https://huggingface.co/datasets/lmms-eval/Video-MME</x:v>
      </x:c>
    </x:row>
    <x:row r="115" ht="94" customHeight="1">
      <x:c r="A115" s="4" t="str">
        <x:v>P11</x:v>
      </x:c>
      <x:c r="B115" s="4" t="str">
        <x:v>证据图多跳推理</x:v>
      </x:c>
      <x:c r="C115" s="4" t="str">
        <x:v>Video-MME</x:v>
      </x:c>
      <x:c r="D115" s="4" t="str">
        <x:v>Spatial Reasoning</x:v>
      </x:c>
      <x:c r="E115" s="4" t="str">
        <x:v>Why does the roof object fly?</x:v>
      </x:c>
      <x:c r="F115" s="4" t="str">
        <x:v>A. There was an explosion.
B. Thrown into the air by a child.
C. Tied to a balloon.
D. Lunar approach.</x:v>
      </x:c>
      <x:c r="G115" s="4" t="str">
        <x:v>屋顶上的物体为什么会飞起来？</x:v>
      </x:c>
      <x:c r="H115" s="4" t="str">
        <x:v>R6</x:v>
      </x:c>
      <x:c r="I115" s="4" t="str">
        <x:v>R1 | R6 | R9</x:v>
      </x:c>
      <x:c r="J115" s="4" t="str">
        <x:v>代表题问屋顶物体为何飞起，是原因推断，不是左右/距离计算。其他子题按直接空间事实R1、关系推理R6或场景建模R9拆分。</x:v>
      </x:c>
      <x:c r="K115" s="4" t="str">
        <x:v>论文定义级核对；代表题按工作簿题干分析；未逐题观看视频</x:v>
      </x:c>
      <x:c r="L115" s="4" t="str">
        <x:v>src.video_mme.spatial_reasoning</x:v>
      </x:c>
      <x:c r="M115" s="4" t="str">
        <x:v>https://arxiv.org/html/2405.21075v3</x:v>
      </x:c>
      <x:c r="N115" s="4" t="str">
        <x:v>https://huggingface.co/datasets/lmms-eval/Video-MME</x:v>
      </x:c>
    </x:row>
    <x:row r="116" ht="136" customHeight="1">
      <x:c r="A116" s="4" t="str">
        <x:v>P11</x:v>
      </x:c>
      <x:c r="B116" s="4" t="str">
        <x:v>证据图多跳推理</x:v>
      </x:c>
      <x:c r="C116" s="4" t="str">
        <x:v>Video-MME</x:v>
      </x:c>
      <x:c r="D116" s="4" t="str">
        <x:v>Temporal Reasoning</x:v>
      </x:c>
      <x:c r="E116" s="4" t="str">
        <x:v>What happened when Irish imiggrants brought the tradition of St. Patrick's Day to America?</x:v>
      </x:c>
      <x:c r="F116" s="4" t="str">
        <x:v>A. They began to center around drinking and celebrating the festival.
B. St. Patrick moved to America.
C. They celebrated St. Patrick's birth instead.
D. They attended the church and gather for feasts.</x:v>
      </x:c>
      <x:c r="G116" s="4" t="str">
        <x:v>爱尔兰移民将圣帕特里克节的传统带到美国时发生了什么？</x:v>
      </x:c>
      <x:c r="H116" s="4" t="str">
        <x:v>R1</x:v>
      </x:c>
      <x:c r="I116" s="4" t="str">
        <x:v>R1 | R3 | R6 | R7</x:v>
      </x:c>
      <x:c r="J116" s="4" t="str">
        <x:v>圣帕特里克节传到美国后发生了什么，可能是解说中的直接事实；真实事件顺序走R3，原因解释R6，未发生的未来推演R7。代表题按明示事实条件暂列R1。</x:v>
      </x:c>
      <x:c r="K116" s="4" t="str">
        <x:v>论文定义级核对；代表题按工作簿题干分析；未逐题观看视频；样本执行归类待证据确认</x:v>
      </x:c>
      <x:c r="L116" s="4" t="str">
        <x:v>src.video_mme.temporal_reasoning</x:v>
      </x:c>
      <x:c r="M116" s="4" t="str">
        <x:v>https://arxiv.org/html/2405.21075v3</x:v>
      </x:c>
      <x:c r="N116" s="4" t="str">
        <x:v>https://huggingface.co/datasets/lmms-eval/Video-MME</x:v>
      </x:c>
    </x:row>
    <x:row r="117" ht="248" customHeight="1">
      <x:c r="A117" s="4" t="str">
        <x:v>P11</x:v>
      </x:c>
      <x:c r="B117" s="4" t="str">
        <x:v>证据图多跳推理</x:v>
      </x:c>
      <x:c r="C117" s="4" t="str">
        <x:v>Video-MME-v2</x:v>
      </x:c>
      <x:c r="D117" s="4" t="str">
        <x:v>Causal Reasoning</x:v>
      </x:c>
      <x:c r="E117" s="4" t="str">
        <x:v>Why didn't the boss let the protagonist dress as Hello Kitty?</x:v>
      </x:c>
      <x:c r="F117" s="4" t="str">
        <x:v>A. Because she is not slender enough.
B. Because her mom is Malaysian Chinese.
C. Because she is not Japanese.
D. Because her face is not beautiful enough.
E. Because she has no relevant work experience.
F. Because she is not a Black girl.
G. Because she doesn't have a deep understanding of Hello Kitty.
H. Because her temperament doesn't match.</x:v>
      </x:c>
      <x:c r="G117" s="4" t="str">
        <x:v>为什么老板不让主角打扮成Hello Kitty ？</x:v>
      </x:c>
      <x:c r="H117" s="4" t="str">
        <x:v>R6</x:v>
      </x:c>
      <x:c r="I117" s="4" t="str">
        <x:v>R1 | R6</x:v>
      </x:c>
      <x:c r="J117" s="4" t="str">
        <x:v>老板不让主角扮Hello Kitty需要证据约束的原因解释；若台词直接给原因，则可简化为R1。</x:v>
      </x:c>
      <x:c r="K117" s="4" t="str">
        <x:v>论文定义级核对；代表题按工作簿题干分析；未逐题观看视频</x:v>
      </x:c>
      <x:c r="L117" s="4" t="str">
        <x:v>src.video_mme_v2.causal_reasoning</x:v>
      </x:c>
      <x:c r="M117" s="4" t="str">
        <x:v>https://arxiv.org/pdf/2604.05015</x:v>
      </x:c>
      <x:c r="N117" s="4" t="str">
        <x:v>https://huggingface.co/datasets/MME-Benchmarks/Video-MME-v2</x:v>
      </x:c>
    </x:row>
    <x:row r="118" ht="220" customHeight="1">
      <x:c r="A118" s="4" t="str">
        <x:v>P11</x:v>
      </x:c>
      <x:c r="B118" s="4" t="str">
        <x:v>证据图多跳推理</x:v>
      </x:c>
      <x:c r="C118" s="4" t="str">
        <x:v>Video-MME-v2</x:v>
      </x:c>
      <x:c r="D118" s="4" t="str">
        <x:v>Collective Dynamics Analysis</x:v>
      </x:c>
      <x:c r="E118" s="4" t="str">
        <x:v>On which occasion(s) was Shark Daymond's motivation based on a reliance on his personal resources and charisma rather than the offer itself?</x:v>
      </x:c>
      <x:c r="F118" s="4" t="str">
        <x:v>A. The first and the fourth occasions.
B. The third and the fourth occasions.
C. The second and the fourth occasions.
D. The first and second occasions.
E. The second occasion.
F. The second and third occasions.
G. The first occasion.
H. The fourth and the fifth occasions.</x:v>
      </x:c>
      <x:c r="G118" s="4" t="str">
        <x:v>在哪些场合，投资人 Daymond 的动机依赖的是个人资源与个人魅力，而不是交易提议本身？</x:v>
      </x:c>
      <x:c r="H118" s="4" t="str">
        <x:v>R6</x:v>
      </x:c>
      <x:c r="I118" s="4" t="str">
        <x:v>R6</x:v>
      </x:c>
      <x:c r="J118" s="4" t="str">
        <x:v>投资人决策动机及群体关系需要跨情境证据比较；频次只是辅助操作，不替代动机判断。</x:v>
      </x:c>
      <x:c r="K118" s="4" t="str">
        <x:v>论文定义级核对；代表题按工作簿题干分析；未逐题观看视频</x:v>
      </x:c>
      <x:c r="L118" s="4" t="str">
        <x:v>src.video_mme_v2.collective_dynamics_analysis</x:v>
      </x:c>
      <x:c r="M118" s="4" t="str">
        <x:v>https://arxiv.org/pdf/2604.05015</x:v>
      </x:c>
      <x:c r="N118" s="4" t="str">
        <x:v>https://huggingface.co/datasets/MME-Benchmarks/Video-MME-v2</x:v>
      </x:c>
    </x:row>
    <x:row r="119" ht="178" customHeight="1">
      <x:c r="A119" s="4" t="str">
        <x:v>P11</x:v>
      </x:c>
      <x:c r="B119" s="4" t="str">
        <x:v>证据图多跳推理</x:v>
      </x:c>
      <x:c r="C119" s="4" t="str">
        <x:v>Video-MME-v2</x:v>
      </x:c>
      <x:c r="D119" s="4" t="str">
        <x:v>Dyadic Interaction Dynamics</x:v>
      </x:c>
      <x:c r="E119" s="4" t="str">
        <x:v>What was the relationship between Ava and Gillian like at the beginning?</x:v>
      </x:c>
      <x:c r="F119" s="4" t="str">
        <x:v>A. Mutually respectful.
B. Indifferent.
C. Confrontational.
D. Cannot be determined.
E. Friendly.
F. One-sidedly submissive.
G. Mutually understanding.
H. Hostile.</x:v>
      </x:c>
      <x:c r="G119" s="4" t="str">
        <x:v>Ava和Gillian一开始的关系是什么样的？</x:v>
      </x:c>
      <x:c r="H119" s="4" t="str">
        <x:v>R6</x:v>
      </x:c>
      <x:c r="I119" s="4" t="str">
        <x:v>R1 | R6</x:v>
      </x:c>
      <x:c r="J119" s="4" t="str">
        <x:v>两人初期关系通常依赖互动或对话解释；明确称谓事实可R1，不强制所有关系题建大图。</x:v>
      </x:c>
      <x:c r="K119" s="4" t="str">
        <x:v>论文定义级核对；代表题按工作簿题干分析；未逐题观看视频</x:v>
      </x:c>
      <x:c r="L119" s="4" t="str">
        <x:v>src.video_mme_v2.dyadic_interaction_dynamics</x:v>
      </x:c>
      <x:c r="M119" s="4" t="str">
        <x:v>https://arxiv.org/pdf/2604.05015</x:v>
      </x:c>
      <x:c r="N119" s="4" t="str">
        <x:v>https://huggingface.co/datasets/MME-Benchmarks/Video-MME-v2</x:v>
      </x:c>
    </x:row>
    <x:row r="120" ht="318" customHeight="1">
      <x:c r="A120" s="4" t="str">
        <x:v>P11</x:v>
      </x:c>
      <x:c r="B120" s="4" t="str">
        <x:v>证据图多跳推理</x:v>
      </x:c>
      <x:c r="C120" s="4" t="str">
        <x:v>Video-MME-v2</x:v>
      </x:c>
      <x:c r="D120" s="4" t="str">
        <x:v>High-Order Narrative Deconstruction</x:v>
      </x:c>
      <x:c r="E120" s="4" t="str">
        <x:v>In the scene where everyone gets injured, what is the main punchline?</x:v>
      </x:c>
      <x:c r="F120" s="4" t="str">
        <x:v>A. The terrifying enemy that defeats them is actually a toddler throwing toys.
B. The culprit turns out to be a puppy.
C. They are not actually fighting a monster, but all accidentally slip on the same banana peel.
D. The skull that appears in the bottom right corner is very cute.
E. It's a funny coincidence that everyone sustains facial injuries.
F. A cat hurts them.
G. Although the injuries aren't serious, their expressions are full of terror, making them look cowardly.
H. Everyone is injured in a different embarrasing location.</x:v>
      </x:c>
      <x:c r="G120" s="4" t="str">
        <x:v>在所有人都受伤的场景中，主要笑点是什么？</x:v>
      </x:c>
      <x:c r="H120" s="4" t="str">
        <x:v>R6</x:v>
      </x:c>
      <x:c r="I120" s="4" t="str">
        <x:v>R6</x:v>
      </x:c>
      <x:c r="J120" s="4" t="str">
        <x:v>解释笑点需把叙事事实与预期/反差联系起来，不等同复述全片。</x:v>
      </x:c>
      <x:c r="K120" s="4" t="str">
        <x:v>论文定义级核对；代表题按工作簿题干分析；未逐题观看视频</x:v>
      </x:c>
      <x:c r="L120" s="4" t="str">
        <x:v>src.video_mme_v2.high_order_narrative_deconstruction</x:v>
      </x:c>
      <x:c r="M120" s="4" t="str">
        <x:v>https://arxiv.org/pdf/2604.05015</x:v>
      </x:c>
      <x:c r="N120" s="4" t="str">
        <x:v>https://huggingface.co/datasets/MME-Benchmarks/Video-MME-v2</x:v>
      </x:c>
    </x:row>
    <x:row r="121" ht="400" customHeight="1">
      <x:c r="A121" s="4" t="str">
        <x:v>P11</x:v>
      </x:c>
      <x:c r="B121" s="4" t="str">
        <x:v>证据图多跳推理</x:v>
      </x:c>
      <x:c r="C121" s="4" t="str">
        <x:v>Video-MME-v2</x:v>
      </x:c>
      <x:c r="D121" s="4" t="str">
        <x:v>Individual Social Cognition</x:v>
      </x:c>
      <x:c r="E121" s="4" t="str">
        <x:v>Based on the conversation, what is the interviewee's stance on whether the model should be open-source or closed-source?</x:v>
      </x:c>
      <x:c r="F121" s="4" t="str">
        <x:v>A. Open-source models can foster innovation and collaboration, but in certain high-risk scenarios, keeping the code closed may be necessary to prevent misuse or malicious applications.
B. Open source is just another IQ tax.
C. Closing the source code of models is unreasonable as it undermines the spirit of open-source and hinders technological development.
D. Closed source is a manifestation of lacking the scientific spirit.
E. It is reasonable for the most powerful models to be closed-source.
F. Closed source exists for safety considerations and should be understood.
G. Whether model code should be open or closed should depend on the specific application scenarios. General-purpose models should be open-source.
H. While neither open-source nor closed-source models are inherently wrong, open-source models deserve more respect.</x:v>
      </x:c>
      <x:c r="G121" s="4" t="str">
        <x:v>根据对话，受访者对模型应该是开源还是闭源的立场是什么？</x:v>
      </x:c>
      <x:c r="H121" s="4" t="str">
        <x:v>R1</x:v>
      </x:c>
      <x:c r="I121" s="4" t="str">
        <x:v>R1 | R6</x:v>
      </x:c>
      <x:c r="J121" s="4" t="str">
        <x:v>访谈中对开源/闭源的立场若明确表达可R1；需从含蓄发言或行为推断才R6。代表题的实际负担需核对片段。</x:v>
      </x:c>
      <x:c r="K121" s="4" t="str">
        <x:v>论文定义级核对；代表题按工作簿题干分析；未逐题观看视频；样本执行归类待证据确认</x:v>
      </x:c>
      <x:c r="L121" s="4" t="str">
        <x:v>src.video_mme_v2.individual_social_cognition</x:v>
      </x:c>
      <x:c r="M121" s="4" t="str">
        <x:v>https://arxiv.org/pdf/2604.05015</x:v>
      </x:c>
      <x:c r="N121" s="4" t="str">
        <x:v>https://huggingface.co/datasets/MME-Benchmarks/Video-MME-v2</x:v>
      </x:c>
    </x:row>
    <x:row r="122" ht="164" customHeight="1">
      <x:c r="A122" s="4" t="str">
        <x:v>P11</x:v>
      </x:c>
      <x:c r="B122" s="4" t="str">
        <x:v>证据图多跳推理</x:v>
      </x:c>
      <x:c r="C122" s="4" t="str">
        <x:v>Video-MME-v2</x:v>
      </x:c>
      <x:c r="D122" s="4" t="str">
        <x:v>Narrative Cloze Inference</x:v>
      </x:c>
      <x:c r="E122" s="4" t="str">
        <x:v>A bus appears at the beginning of the video. Who are mainly inside the bus?</x:v>
      </x:c>
      <x:c r="F122" s="4" t="str">
        <x:v>A. Tourists.
B. Patients.
C. A sports team.
D. Hostages.
E. Prisoners.
F. Military recruits.
G. Construction workers.
H. Refugees.</x:v>
      </x:c>
      <x:c r="G122" s="4" t="str">
        <x:v>视频开头出现了一辆公交车。车内主要是什么人？</x:v>
      </x:c>
      <x:c r="H122" s="4" t="str">
        <x:v>R6</x:v>
      </x:c>
      <x:c r="I122" s="4" t="str">
        <x:v>R1 | R6</x:v>
      </x:c>
      <x:c r="J122" s="4" t="str">
        <x:v>公交车乘客是谁可能直接交代也可能由叙事暗示，不能仅凭题面判定为局部题；暂R6，明示后降为R1。论文使用Narrative Clues Inference别名。</x:v>
      </x:c>
      <x:c r="K122" s="4" t="str">
        <x:v>论文定义级核对；代表题按工作簿题干分析；未逐题观看视频；样本执行归类待证据确认</x:v>
      </x:c>
      <x:c r="L122" s="4" t="str">
        <x:v>src.video_mme_v2.narrative_cloze_inference</x:v>
      </x:c>
      <x:c r="M122" s="4" t="str">
        <x:v>https://arxiv.org/pdf/2604.05015</x:v>
      </x:c>
      <x:c r="N122" s="4" t="str">
        <x:v>https://huggingface.co/datasets/MME-Benchmarks/Video-MME-v2</x:v>
      </x:c>
    </x:row>
    <x:row r="123" ht="332" customHeight="1">
      <x:c r="A123" s="4" t="str">
        <x:v>P11</x:v>
      </x:c>
      <x:c r="B123" s="4" t="str">
        <x:v>证据图多跳推理</x:v>
      </x:c>
      <x:c r="C123" s="4" t="str">
        <x:v>Video-MME-v2</x:v>
      </x:c>
      <x:c r="D123" s="4" t="str">
        <x:v>Narrative Turning Point Detection</x:v>
      </x:c>
      <x:c r="E123" s="4" t="str">
        <x:v>What is the biggest turning point in the plot shown in the video?</x:v>
      </x:c>
      <x:c r="F123" s="4" t="str">
        <x:v>A. The boy did not board the train.
B. The boy took away the last cookie.
C. The old woman discovers that the boy took another packet of cookies out of his pocket.
D. After boarding the train, the old woman discovers that the boy put a packet of cookies in her bag.
E. The old woman crushed the half cookie the boy gave her.
F. The boy broke the last cookie.
G. After boarding the train, the old woman discovers that she had been eating the boy's cookies.
H. After boarding the train, the old woman discovers that there was actually a packet of cookies in her bag all along.</x:v>
      </x:c>
      <x:c r="G123" s="4" t="str">
        <x:v>视频中显示的情节中最大的转折点是什么？</x:v>
      </x:c>
      <x:c r="H123" s="4" t="str">
        <x:v>R6</x:v>
      </x:c>
      <x:c r="I123" s="4" t="str">
        <x:v>R6</x:v>
      </x:c>
      <x:c r="J123" s="4" t="str">
        <x:v>最大转折是对事件重要性/叙事结构的判断；事件定位是共享模块，不等于只找时间戳。</x:v>
      </x:c>
      <x:c r="K123" s="4" t="str">
        <x:v>论文定义级核对；代表题按工作簿题干分析；未逐题观看视频</x:v>
      </x:c>
      <x:c r="L123" s="4" t="str">
        <x:v>src.video_mme_v2.narrative_turning_point_detection</x:v>
      </x:c>
      <x:c r="M123" s="4" t="str">
        <x:v>https://arxiv.org/pdf/2604.05015</x:v>
      </x:c>
      <x:c r="N123" s="4" t="str">
        <x:v>https://huggingface.co/datasets/MME-Benchmarks/Video-MME-v2</x:v>
      </x:c>
    </x:row>
    <x:row r="124" ht="248" customHeight="1">
      <x:c r="A124" s="4" t="str">
        <x:v>P11</x:v>
      </x:c>
      <x:c r="B124" s="4" t="str">
        <x:v>证据图多跳推理</x:v>
      </x:c>
      <x:c r="C124" s="4" t="str">
        <x:v>Video-MME-v2</x:v>
      </x:c>
      <x:c r="D124" s="4" t="str">
        <x:v>Symbolic/Metaphorical Interpretation</x:v>
      </x:c>
      <x:c r="E124" s="4" t="str">
        <x:v>What is the short film about?</x:v>
      </x:c>
      <x:c r="F124" s="4" t="str">
        <x:v>A. Racial discrimination.
B. Religious conflict.
C. Cosplay as a means of psychological healing.
D. Career dilemmas and breakthroughs of independent fashion designers.
E. The complex psychological struggle of grieving a lost family member.
F. The conflict between traditional values and modern fashion.
G. Generational gap.
H. Gender inequality.</x:v>
      </x:c>
      <x:c r="G124" s="4" t="str">
        <x:v>这部短片是关于什么的？</x:v>
      </x:c>
      <x:c r="H124" s="4" t="str">
        <x:v>R6</x:v>
      </x:c>
      <x:c r="I124" s="4" t="str">
        <x:v>R5 | R6</x:v>
      </x:c>
      <x:c r="J124" s="4" t="str">
        <x:v>短片表达的隐喻/寓意需要事实与抽象含义的关系推断；仅复述剧情/体裁走R5。</x:v>
      </x:c>
      <x:c r="K124" s="4" t="str">
        <x:v>论文定义级核对；代表题按工作簿题干分析；未逐题观看视频</x:v>
      </x:c>
      <x:c r="L124" s="4" t="str">
        <x:v>src.video_mme_v2.symbolic_metaphorical_interpretation</x:v>
      </x:c>
      <x:c r="M124" s="4" t="str">
        <x:v>https://arxiv.org/pdf/2604.05015</x:v>
      </x:c>
      <x:c r="N124" s="4" t="str">
        <x:v>https://huggingface.co/datasets/MME-Benchmarks/Video-MME-v2</x:v>
      </x:c>
    </x:row>
    <x:row r="125" ht="164" customHeight="1">
      <x:c r="A125" s="4" t="str">
        <x:v>P11</x:v>
      </x:c>
      <x:c r="B125" s="4" t="str">
        <x:v>证据图多跳推理</x:v>
      </x:c>
      <x:c r="C125" s="4" t="str">
        <x:v>Video-MME-v2</x:v>
      </x:c>
      <x:c r="D125" s="4" t="str">
        <x:v>Visual-Audio Collaborative Reasoning</x:v>
      </x:c>
      <x:c r="E125" s="4" t="str">
        <x:v>What is the ethnicity of the protagonist's mother?</x:v>
      </x:c>
      <x:c r="F125" s="4" t="str">
        <x:v>A. Malaysian.
B. British.
C. Singaporean.
D. German.
E. Canadian.
F. Chinese.
G. American.
H. Cannot be determined.</x:v>
      </x:c>
      <x:c r="G125" s="4" t="str">
        <x:v>主角母亲的族裔是什么？</x:v>
      </x:c>
      <x:c r="H125" s="4" t="str">
        <x:v>R6</x:v>
      </x:c>
      <x:c r="I125" s="4" t="str">
        <x:v>R1 | R6</x:v>
      </x:c>
      <x:c r="J125" s="4" t="str">
        <x:v>母亲族裔只能依据叙事中明确提供/合理关联的身份事实，不从面貌猜测；直接音画事实绑定可R1，需要多条关系推断R6。</x:v>
      </x:c>
      <x:c r="K125" s="4" t="str">
        <x:v>论文定义级核对；代表题按工作簿题干分析；未逐题观看视频</x:v>
      </x:c>
      <x:c r="L125" s="4" t="str">
        <x:v>src.video_mme_v2.visual_audio_collaborative_reasoning</x:v>
      </x:c>
      <x:c r="M125" s="4" t="str">
        <x:v>https://arxiv.org/pdf/2604.05015</x:v>
      </x:c>
      <x:c r="N125" s="4" t="str">
        <x:v>https://huggingface.co/datasets/MME-Benchmarks/Video-MME-v2</x:v>
      </x:c>
    </x:row>
    <x:row r="126" ht="94" customHeight="1">
      <x:c r="A126" s="4" t="str">
        <x:v>P12</x:v>
      </x:c>
      <x:c r="B126" s="4" t="str">
        <x:v>世界状态前向模拟</x:v>
      </x:c>
      <x:c r="C126" s="4" t="str">
        <x:v>MVBench</x:v>
      </x:c>
      <x:c r="D126" s="4" t="str">
        <x:v>Action Prediction</x:v>
      </x:c>
      <x:c r="E126" s="4" t="str">
        <x:v>What will the person do next?</x:v>
      </x:c>
      <x:c r="F126" s="4" t="str">
        <x:v>A. Put down the pillow.
B. Open the door.
C. Take the book.
D. Open the closet/cabinet.</x:v>
      </x:c>
      <x:c r="G126" s="4" t="str">
        <x:v>此人接下来会做什么？</x:v>
      </x:c>
      <x:c r="H126" s="4" t="str">
        <x:v>R7</x:v>
      </x:c>
      <x:c r="I126" s="4" t="str">
        <x:v>R7</x:v>
      </x:c>
      <x:c r="J126" s="4" t="str">
        <x:v>预测未观察动作；仅用提供的观察片段，不读后续真值。</x:v>
      </x:c>
      <x:c r="K126" s="4" t="str">
        <x:v>论文定义级核对；代表题按工作簿题干分析；未逐题观看视频</x:v>
      </x:c>
      <x:c r="L126" s="4" t="str">
        <x:v>src.mvbench.action_prediction</x:v>
      </x:c>
      <x:c r="M126" s="4" t="str">
        <x:v>https://arxiv.org/pdf/2311.17005</x:v>
      </x:c>
      <x:c r="N126" s="4" t="str">
        <x:v>https://huggingface.co/datasets/OpenGVLab/MVBench</x:v>
      </x:c>
    </x:row>
    <x:row r="127" ht="136" customHeight="1">
      <x:c r="A127" s="4" t="str">
        <x:v>P12</x:v>
      </x:c>
      <x:c r="B127" s="4" t="str">
        <x:v>世界状态前向模拟</x:v>
      </x:c>
      <x:c r="C127" s="4" t="str">
        <x:v>MVBench</x:v>
      </x:c>
      <x:c r="D127" s="4" t="str">
        <x:v>Counterfactual Inference</x:v>
      </x:c>
      <x:c r="E127" s="4" t="str">
        <x:v>Which of the following will happen if the cylinder is removed?</x:v>
      </x:c>
      <x:c r="F127" s="4" t="str">
        <x:v>A. The cyan rubber object and the blue cube collide.
B. The brown cube collides with the metal cube.
C. The cyan rubber object and the metal cube collide.
D. The cyan rubber cube collides with the sphere.</x:v>
      </x:c>
      <x:c r="G127" s="4" t="str">
        <x:v>如果移除圆柱体，以下哪种情况会发生？</x:v>
      </x:c>
      <x:c r="H127" s="4" t="str">
        <x:v>R7</x:v>
      </x:c>
      <x:c r="I127" s="4" t="str">
        <x:v>R7</x:v>
      </x:c>
      <x:c r="J127" s="4" t="str">
        <x:v>删除圆柱后推演碰撞；分离实际观测与反事实轨迹。</x:v>
      </x:c>
      <x:c r="K127" s="4" t="str">
        <x:v>论文定义级核对；代表题按工作簿题干分析；未逐题观看视频</x:v>
      </x:c>
      <x:c r="L127" s="4" t="str">
        <x:v>src.mvbench.counterfactual_inference</x:v>
      </x:c>
      <x:c r="M127" s="4" t="str">
        <x:v>https://arxiv.org/pdf/2311.17005</x:v>
      </x:c>
      <x:c r="N127" s="4" t="str">
        <x:v>https://huggingface.co/datasets/OpenGVLab/MVBench</x:v>
      </x:c>
    </x:row>
    <x:row r="128" ht="178" customHeight="1">
      <x:c r="A128" s="4" t="str">
        <x:v>P12</x:v>
      </x:c>
      <x:c r="B128" s="4" t="str">
        <x:v>世界状态前向模拟</x:v>
      </x:c>
      <x:c r="C128" s="4" t="str">
        <x:v>Video-MME-v2</x:v>
      </x:c>
      <x:c r="D128" s="4" t="str">
        <x:v>Counterfactual Reasoning</x:v>
      </x:c>
      <x:c r="E128" s="4" t="str">
        <x:v>Within the first 15 seconds of the Green Level challenge, suppose the leftmost flower on the screen is watered exactly the same number of times. Now let the rightmost flower on the screen be watered the same number of times as the leftmost flower, and the middle flower is watered exactly one more time than it was originally watered. Under this hypothetical change, how many times are the tallest and the shortest flowers watered, respectively?</x:v>
      </x:c>
      <x:c r="F128" s="4" t="str">
        <x:v>A. 2, 0.
B. 3, 3.
C. 3, 2.
D. 1, 0.
E. 4, 2.
F. 3, 1.
G. 2, 2.
H. 2, 1.</x:v>
      </x:c>
      <x:c r="G128" s="4" t="str">
        <x:v>在绿色关卡挑战的前 15 秒内，假设屏幕最左侧的花浇水次数保持不变；再让最右侧的花与最左侧的花浇水次数相同，并让中间的花比原本多浇一次。在这一假设变化下，最高的花和最矮的花分别被浇了多少次？</x:v>
      </x:c>
      <x:c r="H128" s="4" t="str">
        <x:v>R7</x:v>
      </x:c>
      <x:c r="I128" s="4" t="str">
        <x:v>R7</x:v>
      </x:c>
      <x:c r="J128" s="4" t="str">
        <x:v>浇花反事实先取得事实计数，再只修改假设指定变量并重算；算术是共享操作，不要求通用物理仿真器。</x:v>
      </x:c>
      <x:c r="K128" s="4" t="str">
        <x:v>论文定义级核对；代表题按工作簿题干分析；未逐题观看视频</x:v>
      </x:c>
      <x:c r="L128" s="4" t="str">
        <x:v>src.video_mme_v2.counterfactual_reasoning</x:v>
      </x:c>
      <x:c r="M128" s="4" t="str">
        <x:v>https://arxiv.org/pdf/2604.05015</x:v>
      </x:c>
      <x:c r="N128" s="4" t="str">
        <x:v>https://huggingface.co/datasets/MME-Benchmarks/Video-MME-v2</x:v>
      </x:c>
    </x:row>
    <x:row r="129" ht="290" customHeight="1">
      <x:c r="A129" s="4" t="str">
        <x:v>P12</x:v>
      </x:c>
      <x:c r="B129" s="4" t="str">
        <x:v>世界状态前向模拟</x:v>
      </x:c>
      <x:c r="C129" s="4" t="str">
        <x:v>Video-MME-v2</x:v>
      </x:c>
      <x:c r="D129" s="4" t="str">
        <x:v>Future Event Prediction</x:v>
      </x:c>
      <x:c r="E129" s="4" t="str">
        <x:v>What is the woman most likely to do in the end?</x:v>
      </x:c>
      <x:c r="F129" s="4" t="str">
        <x:v>A. Use the time machine.
B. Turn the machine over to the police for research.
C. Write an academic paper before deciding whether to continue contact with him.
D. Comfort James and then suggest they abandon the machine together.
E. Take the machine away, ending all risks.
F. Give the machine to a third party, avoiding her own responsibility.
G. Feel frustrated and leave the place.
H. Establish a list of moral guidelines, temporarily suspending use of the machine.</x:v>
      </x:c>
      <x:c r="G129" s="4" t="str">
        <x:v>女性最终最有可能做什么？</x:v>
      </x:c>
      <x:c r="H129" s="4" t="str">
        <x:v>R7</x:v>
      </x:c>
      <x:c r="I129" s="4" t="str">
        <x:v>R7</x:v>
      </x:c>
      <x:c r="J129" s="4" t="str">
        <x:v>从题目允许的观察前缀预测后续行为；严格禁止读取被预测的未来片段作为证据。</x:v>
      </x:c>
      <x:c r="K129" s="4" t="str">
        <x:v>论文定义级核对；代表题按工作簿题干分析；未逐题观看视频</x:v>
      </x:c>
      <x:c r="L129" s="4" t="str">
        <x:v>src.video_mme_v2.future_event_prediction</x:v>
      </x:c>
      <x:c r="M129" s="4" t="str">
        <x:v>https://arxiv.org/pdf/2604.05015</x:v>
      </x:c>
      <x:c r="N129" s="4" t="str">
        <x:v>https://huggingface.co/datasets/MME-Benchmarks/Video-MME-v2</x:v>
      </x:c>
    </x:row>
    <x:row r="130" ht="94" customHeight="1">
      <x:c r="A130" s="4" t="str">
        <x:v>P13</x:v>
      </x:c>
      <x:c r="B130" s="4" t="str">
        <x:v>对齐多流融合</x:v>
      </x:c>
      <x:c r="C130" s="4" t="str">
        <x:v>LongVideoBench</x:v>
      </x:c>
      <x:c r="D130" s="4" t="str">
        <x:v>Text-referred Object Tracking</x:v>
      </x:c>
      <x:c r="E130" s="4" t="str">
        <x:v>A man in a white shirt raises one hand while seated on a black chair. This man appears with which subtitle?</x:v>
      </x:c>
      <x:c r="F130" s="4" t="str">
        <x:v>A. I eventually ended up living
B. offered me his couch to crash
C. Pyramid of Giza
D. I got a tap</x:v>
      </x:c>
      <x:c r="G130" s="4" t="str">
        <x:v>一名白衬衫男子坐在黑色椅子上并举起一只手。他出现时配有哪句字幕？</x:v>
      </x:c>
      <x:c r="H130" s="4" t="str">
        <x:v>R1</x:v>
      </x:c>
      <x:c r="I130" s="4" t="str">
        <x:v>R1</x:v>
      </x:c>
      <x:c r="J130" s="4" t="str">
        <x:v>示例由举手人物找到同期字幕；任务名字有Tracking，但不必维护连续轨迹。</x:v>
      </x:c>
      <x:c r="K130" s="4" t="str">
        <x:v>论文定义级核对；代表题按工作簿题干分析；未逐题观看视频</x:v>
      </x:c>
      <x:c r="L130" s="4" t="str">
        <x:v>src.longvideobench.tos</x:v>
      </x:c>
      <x:c r="M130" s="4" t="str">
        <x:v>https://arxiv.org/pdf/2407.15754</x:v>
      </x:c>
      <x:c r="N130" s="4" t="str">
        <x:v>https://huggingface.co/datasets/longvideobench/LongVideoBench</x:v>
      </x:c>
    </x:row>
    <x:row r="131" ht="80" customHeight="1">
      <x:c r="A131" s="4" t="str">
        <x:v>P13</x:v>
      </x:c>
      <x:c r="B131" s="4" t="str">
        <x:v>对齐多流融合</x:v>
      </x:c>
      <x:c r="C131" s="4" t="str">
        <x:v>Video-MME</x:v>
      </x:c>
      <x:c r="D131" s="4" t="str">
        <x:v>Object Recognition</x:v>
      </x:c>
      <x:c r="E131" s="4" t="str">
        <x:v>Which of the following features/items is not discussed in the video in relation to the tomb?</x:v>
      </x:c>
      <x:c r="F131" s="4" t="str">
        <x:v>A. Inkstone.
B. Niche.
C. Jade.
D. Sacrificial table.</x:v>
      </x:c>
      <x:c r="G131" s="4" t="str">
        <x:v>关于这座墓葬，视频没有讨论以下哪项特征或物品？</x:v>
      </x:c>
      <x:c r="H131" s="4" t="str">
        <x:v>R4</x:v>
      </x:c>
      <x:c r="I131" s="4" t="str">
        <x:v>R1 | R4</x:v>
      </x:c>
      <x:c r="J131" s="4" t="str">
        <x:v>代表题问墓葬哪些特征/物品未被讨论，是限定话题的排除清单，不是找到一个物体即可停止。普通目标识别仍R1。</x:v>
      </x:c>
      <x:c r="K131" s="4" t="str">
        <x:v>论文定义级核对；代表题按工作簿题干分析；未逐题观看视频</x:v>
      </x:c>
      <x:c r="L131" s="4" t="str">
        <x:v>src.video_mme.object_recognition</x:v>
      </x:c>
      <x:c r="M131" s="4" t="str">
        <x:v>https://arxiv.org/html/2405.21075v3</x:v>
      </x:c>
      <x:c r="N131" s="4" t="str">
        <x:v>https://huggingface.co/datasets/lmms-eval/Video-MME</x:v>
      </x:c>
    </x:row>
    <x:row r="132" ht="290" customHeight="1">
      <x:c r="A132" s="4" t="str">
        <x:v>P13</x:v>
      </x:c>
      <x:c r="B132" s="4" t="str">
        <x:v>对齐多流融合</x:v>
      </x:c>
      <x:c r="C132" s="4" t="str">
        <x:v>Video-MME-v2</x:v>
      </x:c>
      <x:c r="D132" s="4" t="str">
        <x:v>Audio-Guided Visual Description</x:v>
      </x:c>
      <x:c r="E132" s="4" t="str">
        <x:v>Who is Ava? Who is Gillian?</x:v>
      </x:c>
      <x:c r="F132" s="4" t="str">
        <x:v>A. The yellow-haired woman; the woman receiving treatment.
B. The yellow-haired woman; the woman making clothes.
C. The woman who likes drinking green tea; the woman who likes drinking coffee.
D. The brown-haired woman; the woman who likes drinking green tea.
E. The yellow-haired woman; the brown-haired woman.
F. The brown-haired woman; the woman making clothes.
G. The brown-haired woman; the yellow-haired woman.
H. The woman who likes drinking coffee; the woman making clothes.</x:v>
      </x:c>
      <x:c r="G132" s="4" t="str">
        <x:v>谁是Ava ？谁是Gillian ？</x:v>
      </x:c>
      <x:c r="H132" s="4" t="str">
        <x:v>R1</x:v>
      </x:c>
      <x:c r="I132" s="4" t="str">
        <x:v>R1</x:v>
      </x:c>
      <x:c r="J132" s="4" t="str">
        <x:v>根据对话名称对齐视频中的叙事角色，需要时间对齐的音频/允许的转写与画面；不能只凭面容猜姓名。</x:v>
      </x:c>
      <x:c r="K132" s="4" t="str">
        <x:v>论文定义级核对；代表题按工作簿题干分析；未逐题观看视频</x:v>
      </x:c>
      <x:c r="L132" s="4" t="str">
        <x:v>src.video_mme_v2.audio_guided_visual_description</x:v>
      </x:c>
      <x:c r="M132" s="4" t="str">
        <x:v>https://arxiv.org/pdf/2604.05015</x:v>
      </x:c>
      <x:c r="N132" s="4" t="str">
        <x:v>https://huggingface.co/datasets/MME-Benchmarks/Video-MME-v2</x:v>
      </x:c>
    </x:row>
    <x:row r="133" ht="400" customHeight="1">
      <x:c r="A133" s="4" t="str">
        <x:v>P13</x:v>
      </x:c>
      <x:c r="B133" s="4" t="str">
        <x:v>对齐多流融合</x:v>
      </x:c>
      <x:c r="C133" s="4" t="str">
        <x:v>Video-MME-v2</x:v>
      </x:c>
      <x:c r="D133" s="4" t="str">
        <x:v>Cross-Modal Semantic Consistency</x:v>
      </x:c>
      <x:c r="E133" s="4" t="str">
        <x:v>When the scene showing the little girl sitting by the window is presented at the beginning of the video, which is the most accurate description of the background music and visual tone?</x:v>
      </x:c>
      <x:c r="F133" s="4" t="str">
        <x:v>A. The background music is cheerful and bright, the picture is gloomy and melancholy, the two form a strong contrast.
B. The background music is sad and low, the picture shows the little girl faintly happy, the two create contrast.
C. The background music is intense and tense, the little girl in the picture sits calmly, the two create conflict.
D. The background music is soft and soothing, the little girl in the picture angrily pounds the window, the two are inconsistent.
E. The background music has a light and lively rhythm, the picture has warm and bright tones, the two are consistent.
F. The background music is slow and sad, the golden-haired, thick-eyebrowed little boy in the picture looks melancholy, the two are consisten.
G. The background music is calm and peaceful, the picture shows bright sunshine outside the window, the two are consistent.
H. The background music is slow and sad, the little girl in the picture looks melancholy, the two are consistent.</x:v>
      </x:c>
      <x:c r="G133" s="4" t="str">
        <x:v>当视频开头呈现小女孩坐在窗边的场景时，对背景音乐和视觉色调最准确的描述是什么？</x:v>
      </x:c>
      <x:c r="H133" s="4" t="str">
        <x:v>R6</x:v>
      </x:c>
      <x:c r="I133" s="4" t="str">
        <x:v>R6</x:v>
      </x:c>
      <x:c r="J133" s="4" t="str">
        <x:v>画面与配乐情绪/含义是否一致需要跨模态语义比较；ASR文本不能替代音乐线索。</x:v>
      </x:c>
      <x:c r="K133" s="4" t="str">
        <x:v>论文定义级核对；代表题按工作簿题干分析；未逐题观看视频</x:v>
      </x:c>
      <x:c r="L133" s="4" t="str">
        <x:v>src.video_mme_v2.cross_modal_semantic_consistency</x:v>
      </x:c>
      <x:c r="M133" s="4" t="str">
        <x:v>https://arxiv.org/pdf/2604.05015</x:v>
      </x:c>
      <x:c r="N133" s="4" t="str">
        <x:v>https://huggingface.co/datasets/MME-Benchmarks/Video-MME-v2</x:v>
      </x:c>
    </x:row>
    <x:row r="134" ht="164" customHeight="1">
      <x:c r="A134" s="4" t="str">
        <x:v>P13</x:v>
      </x:c>
      <x:c r="B134" s="4" t="str">
        <x:v>对齐多流融合</x:v>
      </x:c>
      <x:c r="C134" s="4" t="str">
        <x:v>Video-MME-v2</x:v>
      </x:c>
      <x:c r="D134" s="4" t="str">
        <x:v>Visual-Audio Collaborative Reasoning</x:v>
      </x:c>
      <x:c r="E134" s="4" t="str">
        <x:v>What is the ethnicity of the protagonist's mother?</x:v>
      </x:c>
      <x:c r="F134" s="4" t="str">
        <x:v>A. Malaysian.
B. British.
C. Singaporean.
D. German.
E. Canadian.
F. Chinese.
G. American.
H. Cannot be determined.</x:v>
      </x:c>
      <x:c r="G134" s="4" t="str">
        <x:v>主角母亲的族裔是什么？</x:v>
      </x:c>
      <x:c r="H134" s="4" t="str">
        <x:v>R6</x:v>
      </x:c>
      <x:c r="I134" s="4" t="str">
        <x:v>R1 | R6</x:v>
      </x:c>
      <x:c r="J134" s="4" t="str">
        <x:v>母亲族裔只能依据叙事中明确提供/合理关联的身份事实，不从面貌猜测；直接音画事实绑定可R1，需要多条关系推断R6。</x:v>
      </x:c>
      <x:c r="K134" s="4" t="str">
        <x:v>论文定义级核对；代表题按工作簿题干分析；未逐题观看视频</x:v>
      </x:c>
      <x:c r="L134" s="4" t="str">
        <x:v>src.video_mme_v2.visual_audio_collaborative_reasoning</x:v>
      </x:c>
      <x:c r="M134" s="4" t="str">
        <x:v>https://arxiv.org/pdf/2604.05015</x:v>
      </x:c>
      <x:c r="N134" s="4" t="str">
        <x:v>https://huggingface.co/datasets/MME-Benchmarks/Video-MME-v2</x:v>
      </x:c>
    </x:row>
    <x:row r="135" ht="80" customHeight="1">
      <x:c r="A135" s="4" t="str">
        <x:v>P14</x:v>
      </x:c>
      <x:c r="B135" s="4" t="str">
        <x:v>观察—期望一致性验证</x:v>
      </x:c>
      <x:c r="C135" s="4" t="str">
        <x:v>MLVU</x:v>
      </x:c>
      <x:c r="D135" s="4" t="str">
        <x:v>Anomaly Recognition</x:v>
      </x:c>
      <x:c r="E135" s="4" t="str">
        <x:v>What type of abnormality is in this surveillance video?</x:v>
      </x:c>
      <x:c r="F135" s="4" t="str">
        <x:v>A. Fighting
B. Vandalism
C. Robbery
D. Assault</x:v>
      </x:c>
      <x:c r="G135" s="4" t="str">
        <x:v>此监控视频中有什么类型的异常？</x:v>
      </x:c>
      <x:c r="H135" s="4" t="str">
        <x:v>R1</x:v>
      </x:c>
      <x:c r="I135" s="4" t="str">
        <x:v>R1 | R6</x:v>
      </x:c>
      <x:c r="J135" s="4" t="str">
        <x:v>找出监控异常片段并分类；需要覆盖扫描，但不必建立显式期望世界。解释为何异常另用R6。</x:v>
      </x:c>
      <x:c r="K135" s="4" t="str">
        <x:v>论文定义级核对；代表题按工作簿题干分析；未逐题观看视频</x:v>
      </x:c>
      <x:c r="L135" s="4" t="str">
        <x:v>src.mlvu.ar</x:v>
      </x:c>
      <x:c r="M135" s="4" t="str">
        <x:v>https://arxiv.org/html/2406.04264v3</x:v>
      </x:c>
      <x:c r="N135" s="4" t="str">
        <x:v>https://github.com/JUNJIE99/MLVU</x:v>
      </x:c>
    </x:row>
    <x:row r="136" ht="122" customHeight="1">
      <x:c r="A136" s="4" t="str">
        <x:v>P14</x:v>
      </x:c>
      <x:c r="B136" s="4" t="str">
        <x:v>观察—期望一致性验证</x:v>
      </x:c>
      <x:c r="C136" s="4" t="str">
        <x:v>MVBench</x:v>
      </x:c>
      <x:c r="D136" s="4" t="str">
        <x:v>Unexpected Action</x:v>
      </x:c>
      <x:c r="E136" s="4" t="str">
        <x:v>What unexpected event contributes to the humor in the video?</x:v>
      </x:c>
      <x:c r="F136" s="4" t="str">
        <x:v>A. The man left without dancing.
B. Two women hugged each other at the end.
C. The man finally danced with the woman.
D. Two men hugged each other unexpectedly.</x:v>
      </x:c>
      <x:c r="G136" s="4" t="str">
        <x:v>视频中的哪个意外事件产生了幽默效果？</x:v>
      </x:c>
      <x:c r="H136" s="4" t="str">
        <x:v>R1</x:v>
      </x:c>
      <x:c r="I136" s="4" t="str">
        <x:v>R1 | R6</x:v>
      </x:c>
      <x:c r="J136" s="4" t="str">
        <x:v>问发生了什么意外事件优先检测取证；解释幽默/预期违反才需R6。</x:v>
      </x:c>
      <x:c r="K136" s="4" t="str">
        <x:v>论文定义级核对；代表题按工作簿题干分析；未逐题观看视频</x:v>
      </x:c>
      <x:c r="L136" s="4" t="str">
        <x:v>src.mvbench.unexpected_action</x:v>
      </x:c>
      <x:c r="M136" s="4" t="str">
        <x:v>https://arxiv.org/pdf/2311.17005</x:v>
      </x:c>
      <x:c r="N136" s="4" t="str">
        <x:v>https://huggingface.co/datasets/OpenGVLab/MVBench</x:v>
      </x:c>
    </x:row>
    <x:row r="137" ht="108" customHeight="1">
      <x:c r="A137" s="4" t="str">
        <x:v>P14</x:v>
      </x:c>
      <x:c r="B137" s="4" t="str">
        <x:v>观察—期望一致性验证</x:v>
      </x:c>
      <x:c r="C137" s="4" t="str">
        <x:v>TVBench</x:v>
      </x:c>
      <x:c r="D137" s="4" t="str">
        <x:v>Unexpected Action</x:v>
      </x:c>
      <x:c r="E137" s="4" t="str">
        <x:v>Locate the creative/amusing/mesmerizing part of the video.</x:v>
      </x:c>
      <x:c r="F137" s="4" t="str">
        <x:v>A. Throughout the entire video.
B. At the end of the video.
C. At the beginning of the video.
D. In the middle of the video.</x:v>
      </x:c>
      <x:c r="G137" s="4" t="str">
        <x:v>找到视频中创意/有趣/迷人的部分。</x:v>
      </x:c>
      <x:c r="H137" s="4" t="str">
        <x:v>R3</x:v>
      </x:c>
      <x:c r="I137" s="4" t="str">
        <x:v>R3</x:v>
      </x:c>
      <x:c r="J137" s="4" t="str">
        <x:v>官方模板要求Locate creative/amusing/mesmerizing part，终点是时间位置，不是异常原因解释。</x:v>
      </x:c>
      <x:c r="K137" s="4" t="str">
        <x:v>原论文模板核对；执行归类为设计建议</x:v>
      </x:c>
      <x:c r="L137" s="4" t="str">
        <x:v>src.tvbench.unexpected_action</x:v>
      </x:c>
      <x:c r="M137" s="4" t="str">
        <x:v>https://arxiv.org/html/2410.07752v2</x:v>
      </x:c>
      <x:c r="N137" s="4" t="str">
        <x:v>https://huggingface.co/datasets/FunAILab/TVBench</x:v>
      </x:c>
    </x:row>
    <x:row r="138" ht="262" customHeight="1">
      <x:c r="A138" s="4" t="str">
        <x:v>P14</x:v>
      </x:c>
      <x:c r="B138" s="4" t="str">
        <x:v>观察—期望一致性验证</x:v>
      </x:c>
      <x:c r="C138" s="4" t="str">
        <x:v>Video-MME-v2</x:v>
      </x:c>
      <x:c r="D138" s="4" t="str">
        <x:v>Counterintuitive Comprehension</x:v>
      </x:c>
      <x:c r="E138" s="4" t="str">
        <x:v>In the orchestra scene, which of the following is the main physical anomalous phenomenon or object?</x:v>
      </x:c>
      <x:c r="F138" s="4" t="str">
        <x:v>A. The tone of the man in the hat does not match his appearance.
B. A large number of hot dogs appearing suddenly.
C. Musical scores are floating in the air.
D. The musical instruments do not make any sound.
E. A large hand descending from the sky.
F. Instruments emit sound automatically.
G. A man in a formal suit is lifted up.
H. Very heavy musical instruments are lifted easily.</x:v>
      </x:c>
      <x:c r="G138" s="4" t="str">
        <x:v>在管弦乐场景中，以下哪一项是主要的物理异常现象或物体？</x:v>
      </x:c>
      <x:c r="H138" s="4" t="str">
        <x:v>R1</x:v>
      </x:c>
      <x:c r="I138" s="4" t="str">
        <x:v>R1 | R6</x:v>
      </x:c>
      <x:c r="J138" s="4" t="str">
        <x:v>乐团场景哪个对象/现象异常可能直接可见，先走R1；解释违背何种物理/社会预期才需R6。代表题是否直接可见仍待视频确认。</x:v>
      </x:c>
      <x:c r="K138" s="4" t="str">
        <x:v>论文定义级核对；代表题按工作簿题干分析；未逐题观看视频；样本执行归类待证据确认</x:v>
      </x:c>
      <x:c r="L138" s="4" t="str">
        <x:v>src.video_mme_v2.counterintuitive_comprehension</x:v>
      </x:c>
      <x:c r="M138" s="4" t="str">
        <x:v>https://arxiv.org/pdf/2604.05015</x:v>
      </x:c>
      <x:c r="N138" s="4" t="str">
        <x:v>https://huggingface.co/datasets/MME-Benchmarks/Video-MME-v2</x:v>
      </x:c>
    </x:row>
    <x:row r="139" ht="290" customHeight="1">
      <x:c r="A139" s="4" t="str">
        <x:v>P14</x:v>
      </x:c>
      <x:c r="B139" s="4" t="str">
        <x:v>观察—期望一致性验证</x:v>
      </x:c>
      <x:c r="C139" s="4" t="str">
        <x:v>Video-MME-v2</x:v>
      </x:c>
      <x:c r="D139" s="4" t="str">
        <x:v>General Skills Acquisition</x:v>
      </x:c>
      <x:c r="E139" s="4" t="str">
        <x:v>After scalding the duck breasts, I flipped the breasts to the flesh side and sprinkled five-spice powder and salt over them. Then, I prepared a mixture of soy sauce, red vinegar, and maltose syrup, which I brushed onto the skin side of the breasts. Based on the video, which of the following (if any) is incorrect in my description of the preparation steps above?</x:v>
      </x:c>
      <x:c r="F139" s="4" t="str">
        <x:v>A. Use a smaller and female duck.
B. None of the other options are correct.
C. Rinse the duck with cold water before roasting and do not air-dry it.
D. Place the duck far from the heat source in the hanging oven or regular oven.
E. Do not poke holes.
F. Use an electric oven instead of a traditional hanging oven.
G. Brush the skin with honey or malt sugar syrup before roasting.
H. Freeze the duck solid before roasting and then roast it immediately after thawing.</x:v>
      </x:c>
      <x:c r="G139" s="4" t="str">
        <x:v>将鸭胸肉焯烫后，我把鸭胸翻到肉面，撒上五香粉和盐。然后我把酱油、红醋和麦芽糖浆混合，刷在鸭胸的皮面。根据视频，我对上述处理步骤的描述中，以下哪一项（如果有）是不正确的？</x:v>
      </x:c>
      <x:c r="H139" s="4" t="str">
        <x:v>R6</x:v>
      </x:c>
      <x:c r="I139" s="4" t="str">
        <x:v>R1 | R3 | R6</x:v>
      </x:c>
      <x:c r="J139" s="4" t="str">
        <x:v>复现烹饪流程中找操作错误需核对条件和步骤关系；直接问某步骤R1，单纯步骤先后R3。不能把整个知识/技能类都当异常检测。</x:v>
      </x:c>
      <x:c r="K139" s="4" t="str">
        <x:v>论文定义级核对；代表题按工作簿题干分析；未逐题观看视频</x:v>
      </x:c>
      <x:c r="L139" s="4" t="str">
        <x:v>src.video_mme_v2.general_skills_acquisition</x:v>
      </x:c>
      <x:c r="M139" s="4" t="str">
        <x:v>https://arxiv.org/pdf/2604.05015</x:v>
      </x:c>
      <x:c r="N139" s="4" t="str">
        <x:v>https://huggingface.co/datasets/MME-Benchmarks/Video-MME-v2</x:v>
      </x:c>
    </x:row>
    <x:row r="140" ht="136" customHeight="1">
      <x:c r="A140" s="4" t="str">
        <x:v>P15</x:v>
      </x:c>
      <x:c r="B140" s="4" t="str">
        <x:v>知识与符号推导工作区</x:v>
      </x:c>
      <x:c r="C140" s="4" t="str">
        <x:v>Video-MME</x:v>
      </x:c>
      <x:c r="D140" s="4" t="str">
        <x:v>Action Reasoning</x:v>
      </x:c>
      <x:c r="E140" s="4" t="str">
        <x:v>Which of the following reasons motivated the archaeologists to excavate the tomb?</x:v>
      </x:c>
      <x:c r="F140" s="4" t="str">
        <x:v>A. Because it's from Ming Dynasty and of specific archaeological significance.
B. Because a new railway line will be built nearby.
C. Because there were treasures inside the tomb.
D. Highway realignment.</x:v>
      </x:c>
      <x:c r="G140" s="4" t="str">
        <x:v>以下哪一项原因促使考古学家发掘这座墓葬？</x:v>
      </x:c>
      <x:c r="H140" s="4" t="str">
        <x:v>R6</x:v>
      </x:c>
      <x:c r="I140" s="4" t="str">
        <x:v>R1 | R6</x:v>
      </x:c>
      <x:c r="J140" s="4" t="str">
        <x:v>动机题若视频直接讲明，走R1；若需结合人物行为与背景才能推出，走R6。不能因Reasoning一词或专业背景统一归入符号求解。</x:v>
      </x:c>
      <x:c r="K140" s="4" t="str">
        <x:v>论文定义级核对；代表题按工作簿题干分析；未逐题观看视频</x:v>
      </x:c>
      <x:c r="L140" s="4" t="str">
        <x:v>src.video_mme.action_reasoning</x:v>
      </x:c>
      <x:c r="M140" s="4" t="str">
        <x:v>https://arxiv.org/html/2405.21075v3</x:v>
      </x:c>
      <x:c r="N140" s="4" t="str">
        <x:v>https://huggingface.co/datasets/lmms-eval/Video-MME</x:v>
      </x:c>
    </x:row>
    <x:row r="141" ht="80" customHeight="1">
      <x:c r="A141" s="4" t="str">
        <x:v>P15</x:v>
      </x:c>
      <x:c r="B141" s="4" t="str">
        <x:v>知识与符号推导工作区</x:v>
      </x:c>
      <x:c r="C141" s="4" t="str">
        <x:v>Video-MME</x:v>
      </x:c>
      <x:c r="D141" s="4" t="str">
        <x:v>Object Reasoning</x:v>
      </x:c>
      <x:c r="E141" s="4" t="str">
        <x:v>In which country is the food featured in the video recognized worldwide?</x:v>
      </x:c>
      <x:c r="F141" s="4" t="str">
        <x:v>A. Mongolia.
B. Russia.
C. Germany.
D. United States.</x:v>
      </x:c>
      <x:c r="G141" s="4" t="str">
        <x:v>视频中展示的食物在哪个国家享誉全球？</x:v>
      </x:c>
      <x:c r="H141" s="4" t="str">
        <x:v>R6</x:v>
      </x:c>
      <x:c r="I141" s="4" t="str">
        <x:v>R1 | R6</x:v>
      </x:c>
      <x:c r="J141" s="4" t="str">
        <x:v>食物对应国家可能由解说直接提供，也可能需知识联系；仅凭题干无法确定真实证据负担，代表题暂列条件性R6，明示则R1。</x:v>
      </x:c>
      <x:c r="K141" s="4" t="str">
        <x:v>论文定义级核对；代表题按工作簿题干分析；未逐题观看视频；样本执行归类待证据确认</x:v>
      </x:c>
      <x:c r="L141" s="4" t="str">
        <x:v>src.video_mme.object_reasoning</x:v>
      </x:c>
      <x:c r="M141" s="4" t="str">
        <x:v>https://arxiv.org/html/2405.21075v3</x:v>
      </x:c>
      <x:c r="N141" s="4" t="str">
        <x:v>https://huggingface.co/datasets/lmms-eval/Video-MME</x:v>
      </x:c>
    </x:row>
    <x:row r="142" ht="136" customHeight="1">
      <x:c r="A142" s="4" t="str">
        <x:v>P15</x:v>
      </x:c>
      <x:c r="B142" s="4" t="str">
        <x:v>知识与符号推导工作区</x:v>
      </x:c>
      <x:c r="C142" s="4" t="str">
        <x:v>Video-MME-v2</x:v>
      </x:c>
      <x:c r="D142" s="4" t="str">
        <x:v>Numerical Calculation</x:v>
      </x:c>
      <x:c r="E142" s="4" t="str">
        <x:v>What is the relationship between x and b?</x:v>
      </x:c>
      <x:c r="F142" s="4" t="str">
        <x:v>A. Xb=2.
B. Xb=6.
C. Xb=1.
D. Xb=7.
E. Xb=3.
F. Xb=8.
G. Xb=5.
H. Xb=4.</x:v>
      </x:c>
      <x:c r="G142" s="4" t="str">
        <x:v>X和b之间的关系是什么？</x:v>
      </x:c>
      <x:c r="H142" s="4" t="str">
        <x:v>R8</x:v>
      </x:c>
      <x:c r="I142" s="4" t="str">
        <x:v>R8</x:v>
      </x:c>
      <x:c r="J142" s="4" t="str">
        <x:v>读取图式/变量约束后求x与b关系，输出可核验的符号或数值结果。</x:v>
      </x:c>
      <x:c r="K142" s="4" t="str">
        <x:v>论文定义级核对；代表题按工作簿题干分析；未逐题观看视频</x:v>
      </x:c>
      <x:c r="L142" s="4" t="str">
        <x:v>src.video_mme_v2.numerical_calculation</x:v>
      </x:c>
      <x:c r="M142" s="4" t="str">
        <x:v>https://arxiv.org/pdf/2604.05015</x:v>
      </x:c>
      <x:c r="N142" s="4" t="str">
        <x:v>https://huggingface.co/datasets/MME-Benchmarks/Video-MME-v2</x:v>
      </x:c>
    </x:row>
    <x:row r="143" ht="136" customHeight="1">
      <x:c r="A143" s="4" t="str">
        <x:v>P15</x:v>
      </x:c>
      <x:c r="B143" s="4" t="str">
        <x:v>知识与符号推导工作区</x:v>
      </x:c>
      <x:c r="C143" s="4" t="str">
        <x:v>Video-MME-v2</x:v>
      </x:c>
      <x:c r="D143" s="4" t="str">
        <x:v>Professional Knowledge Acquisition</x:v>
      </x:c>
      <x:c r="E143" s="4" t="str">
        <x:v>What is the area of the entire rectangle?</x:v>
      </x:c>
      <x:c r="F143" s="4" t="str">
        <x:v>A. 18.
B. 26.
C. 28.
D. 24.
E. 16.
F. 20.
G. 22.
H. 14.</x:v>
      </x:c>
      <x:c r="G143" s="4" t="str">
        <x:v>整个矩形的面积是多少？</x:v>
      </x:c>
      <x:c r="H143" s="4" t="str">
        <x:v>R8</x:v>
      </x:c>
      <x:c r="I143" s="4" t="str">
        <x:v>R1 | R6 | R8</x:v>
      </x:c>
      <x:c r="J143" s="4" t="str">
        <x:v>矩形面积示例R8；但专业知识类本身还含明示知识取证R1和概念应用R6，不能整类等同数学求解。</x:v>
      </x:c>
      <x:c r="K143" s="4" t="str">
        <x:v>论文定义级核对；代表题按工作簿题干分析；未逐题观看视频</x:v>
      </x:c>
      <x:c r="L143" s="4" t="str">
        <x:v>src.video_mme_v2.professional_knowledge_acquisition</x:v>
      </x:c>
      <x:c r="M143" s="4" t="str">
        <x:v>https://arxiv.org/pdf/2604.05015</x:v>
      </x:c>
      <x:c r="N143" s="4" t="str">
        <x:v>https://huggingface.co/datasets/MME-Benchmarks/Video-MME-v2</x:v>
      </x:c>
    </x:row>
    <x:row r="144" ht="66" customHeight="1">
      <x:c r="A144" s="4" t="str">
        <x:v>P16</x:v>
      </x:c>
      <x:c r="B144" s="4" t="str">
        <x:v>静态实例计数</x:v>
      </x:c>
      <x:c r="C144" s="4" t="str">
        <x:v>LVBench</x:v>
      </x:c>
      <x:c r="D144" s="4" t="str">
        <x:v>Entity Recognition</x:v>
      </x:c>
      <x:c r="E144" s="4" t="str">
        <x:v>How many sticks does the protagonist put in the incense burner?</x:v>
      </x:c>
      <x:c r="F144" s="4" t="str">
        <x:v>A. 3
B. 2
C. 5
D. 1</x:v>
      </x:c>
      <x:c r="G144" s="4" t="str">
        <x:v>主角在香炉里放了几根香？</x:v>
      </x:c>
      <x:c r="H144" s="4" t="str">
        <x:v>R4</x:v>
      </x:c>
      <x:c r="I144" s="4" t="str">
        <x:v>R1 | R2 | R4 | R6</x:v>
      </x:c>
      <x:c r="J144" s="4" t="str">
        <x:v>6种能力可多标签组合。香的示例问实体根数，需实例去重；追踪/关系样本另分R2/R6。</x:v>
      </x:c>
      <x:c r="K144" s="4" t="str">
        <x:v>论文定义级核对；代表题按工作簿题干分析；未逐题观看视频</x:v>
      </x:c>
      <x:c r="L144" s="4" t="str">
        <x:v>src.lvbench.entity_recognition</x:v>
      </x:c>
      <x:c r="M144" s="4" t="str">
        <x:v>https://arxiv.org/html/2406.08035v3</x:v>
      </x:c>
      <x:c r="N144" s="4" t="str">
        <x:v>https://github.com/zai-org/LVBench</x:v>
      </x:c>
    </x:row>
    <x:row r="145" ht="66" customHeight="1">
      <x:c r="A145" s="4" t="str">
        <x:v>P16</x:v>
      </x:c>
      <x:c r="B145" s="4" t="str">
        <x:v>静态实例计数</x:v>
      </x:c>
      <x:c r="C145" s="4" t="str">
        <x:v>TVBench</x:v>
      </x:c>
      <x:c r="D145" s="4" t="str">
        <x:v>Object Count</x:v>
      </x:c>
      <x:c r="E145" s="4" t="str">
        <x:v>How many metal objects are moving when the video begins?</x:v>
      </x:c>
      <x:c r="F145" s="4" t="str">
        <x:v>A. 0
B. 1
C. 2
D. 3</x:v>
      </x:c>
      <x:c r="G145" s="4" t="str">
        <x:v>视频开始时有多少金属物体在移动？</x:v>
      </x:c>
      <x:c r="H145" s="4" t="str">
        <x:v>R4</x:v>
      </x:c>
      <x:c r="I145" s="4" t="str">
        <x:v>R4</x:v>
      </x:c>
      <x:c r="J145" s="4" t="str">
        <x:v>统计开头正在运动的金属实体；需邻帧运动筛选，再按实体去重，不能静态直接计数。</x:v>
      </x:c>
      <x:c r="K145" s="4" t="str">
        <x:v>原论文模板核对；执行归类为设计建议</x:v>
      </x:c>
      <x:c r="L145" s="4" t="str">
        <x:v>src.tvbench.object_count</x:v>
      </x:c>
      <x:c r="M145" s="4" t="str">
        <x:v>https://arxiv.org/html/2410.07752v2</x:v>
      </x:c>
      <x:c r="N145" s="4" t="str">
        <x:v>https://huggingface.co/datasets/FunAILab/TVBench</x:v>
      </x:c>
    </x:row>
    <x:row r="146" ht="94" customHeight="1">
      <x:c r="A146" s="4" t="str">
        <x:v>P16</x:v>
      </x:c>
      <x:c r="B146" s="4" t="str">
        <x:v>静态实例计数</x:v>
      </x:c>
      <x:c r="C146" s="4" t="str">
        <x:v>Video-MME</x:v>
      </x:c>
      <x:c r="D146" s="4" t="str">
        <x:v>Counting Problem</x:v>
      </x:c>
      <x:c r="E146" s="4" t="str">
        <x:v>When demonstrating the Germany modern Christmas tree is initially decorated with apples, candles and berries, which kind of the decoration has the largest number?</x:v>
      </x:c>
      <x:c r="F146" s="4" t="str">
        <x:v>A. Apples.
B. Candles.
C. Berries.
D. The three kinds are of the same number.</x:v>
      </x:c>
      <x:c r="G146" s="4" t="str">
        <x:v>在展示德国现代圣诞树时，最初装饰的是苹果、蜡烛和浆果，哪种装饰数量最多？</x:v>
      </x:c>
      <x:c r="H146" s="4" t="str">
        <x:v>R4</x:v>
      </x:c>
      <x:c r="I146" s="4" t="str">
        <x:v>R1 | R3 | R4</x:v>
      </x:c>
      <x:c r="J146" s="4" t="str">
        <x:v>装饰物哪类最多需各类实例清单及比较；重复动作次数走R3，视频直接报出一个数量且仅问该事实时可R1。先固定计数单位。</x:v>
      </x:c>
      <x:c r="K146" s="4" t="str">
        <x:v>论文定义级核对；代表题按工作簿题干分析；未逐题观看视频</x:v>
      </x:c>
      <x:c r="L146" s="4" t="str">
        <x:v>src.video_mme.counting_problem</x:v>
      </x:c>
      <x:c r="M146" s="4" t="str">
        <x:v>https://arxiv.org/html/2405.21075v3</x:v>
      </x:c>
      <x:c r="N146" s="4" t="str">
        <x:v>https://huggingface.co/datasets/lmms-eval/Video-MME</x:v>
      </x:c>
    </x:row>
    <x:row r="147" ht="52" customHeight="1">
      <x:c r="A147" s="4" t="str">
        <x:v>P16</x:v>
      </x:c>
      <x:c r="B147" s="4" t="str">
        <x:v>静态实例计数</x:v>
      </x:c>
      <x:c r="C147" s="4" t="str">
        <x:v>VSI-Bench</x:v>
      </x:c>
      <x:c r="D147" s="4" t="str">
        <x:v>Object Count</x:v>
      </x:c>
      <x:c r="E147" s="4" t="str">
        <x:v>How many table(s) are in this room?</x:v>
      </x:c>
      <x:c r="F147" s="4" t="str">
        <x:v>不适用（数值输出题）</x:v>
      </x:c>
      <x:c r="G147" s="4" t="str">
        <x:v>这个房间里有多少张桌子？</x:v>
      </x:c>
      <x:c r="H147" s="4" t="str">
        <x:v>R4</x:v>
      </x:c>
      <x:c r="I147" s="4" t="str">
        <x:v>R4</x:v>
      </x:c>
      <x:c r="J147" s="4" t="str">
        <x:v>房间内桌子总数需多视角实例清单及重识别，不是每帧各数一遍再相加，也不必用完整3D重建。</x:v>
      </x:c>
      <x:c r="K147" s="4" t="str">
        <x:v>论文定义级核对；代表题按工作簿题干分析；未逐题观看视频</x:v>
      </x:c>
      <x:c r="L147" s="4" t="str">
        <x:v>src.vsi_bench.object_count</x:v>
      </x:c>
      <x:c r="M147" s="4" t="str">
        <x:v>https://arxiv.org/pdf/2412.14171</x:v>
      </x:c>
      <x:c r="N147" s="4" t="str">
        <x:v>https://huggingface.co/datasets/nyu-visionx/VSI-Bench</x:v>
      </x:c>
    </x:row>
    <x:row r="148" ht="66" customHeight="1">
      <x:c r="A148" s="4" t="str">
        <x:v>P17</x:v>
      </x:c>
      <x:c r="B148" s="4" t="str">
        <x:v>定性空间关系</x:v>
      </x:c>
      <x:c r="C148" s="4" t="str">
        <x:v>Video-MME</x:v>
      </x:c>
      <x:c r="D148" s="4" t="str">
        <x:v>Spatial Perception</x:v>
      </x:c>
      <x:c r="E148" s="4" t="str">
        <x:v>Which of the following is visible in the background of the video when the miniature bottle is shown empty?</x:v>
      </x:c>
      <x:c r="F148" s="4" t="str">
        <x:v>A. Water.
B. Cork.
C. Shells.
D. Star.</x:v>
      </x:c>
      <x:c r="G148" s="4" t="str">
        <x:v>当微型瓶显示为空时，以下哪一项在视频背景中可见？</x:v>
      </x:c>
      <x:c r="H148" s="4" t="str">
        <x:v>R1</x:v>
      </x:c>
      <x:c r="I148" s="4" t="str">
        <x:v>R1 | R9</x:v>
      </x:c>
      <x:c r="J148" s="4" t="str">
        <x:v>空瓶出现时背景有什么通常是直接可见的局部关系；跨视角参考系、不可同框的空间关系改R9。</x:v>
      </x:c>
      <x:c r="K148" s="4" t="str">
        <x:v>论文定义级核对；代表题按工作簿题干分析；未逐题观看视频</x:v>
      </x:c>
      <x:c r="L148" s="4" t="str">
        <x:v>src.video_mme.spatial_perception</x:v>
      </x:c>
      <x:c r="M148" s="4" t="str">
        <x:v>https://arxiv.org/html/2405.21075v3</x:v>
      </x:c>
      <x:c r="N148" s="4" t="str">
        <x:v>https://huggingface.co/datasets/lmms-eval/Video-MME</x:v>
      </x:c>
    </x:row>
    <x:row r="149" ht="94" customHeight="1">
      <x:c r="A149" s="4" t="str">
        <x:v>P17</x:v>
      </x:c>
      <x:c r="B149" s="4" t="str">
        <x:v>定性空间关系</x:v>
      </x:c>
      <x:c r="C149" s="4" t="str">
        <x:v>Video-MME</x:v>
      </x:c>
      <x:c r="D149" s="4" t="str">
        <x:v>Spatial Reasoning</x:v>
      </x:c>
      <x:c r="E149" s="4" t="str">
        <x:v>Why does the roof object fly?</x:v>
      </x:c>
      <x:c r="F149" s="4" t="str">
        <x:v>A. There was an explosion.
B. Thrown into the air by a child.
C. Tied to a balloon.
D. Lunar approach.</x:v>
      </x:c>
      <x:c r="G149" s="4" t="str">
        <x:v>屋顶上的物体为什么会飞起来？</x:v>
      </x:c>
      <x:c r="H149" s="4" t="str">
        <x:v>R6</x:v>
      </x:c>
      <x:c r="I149" s="4" t="str">
        <x:v>R1 | R6 | R9</x:v>
      </x:c>
      <x:c r="J149" s="4" t="str">
        <x:v>代表题问屋顶物体为何飞起，是原因推断，不是左右/距离计算。其他子题按直接空间事实R1、关系推理R6或场景建模R9拆分。</x:v>
      </x:c>
      <x:c r="K149" s="4" t="str">
        <x:v>论文定义级核对；代表题按工作簿题干分析；未逐题观看视频</x:v>
      </x:c>
      <x:c r="L149" s="4" t="str">
        <x:v>src.video_mme.spatial_reasoning</x:v>
      </x:c>
      <x:c r="M149" s="4" t="str">
        <x:v>https://arxiv.org/html/2405.21075v3</x:v>
      </x:c>
      <x:c r="N149" s="4" t="str">
        <x:v>https://huggingface.co/datasets/lmms-eval/Video-MME</x:v>
      </x:c>
    </x:row>
    <x:row r="150" ht="52" customHeight="1">
      <x:c r="A150" s="4" t="str">
        <x:v>P18</x:v>
      </x:c>
      <x:c r="B150" s="4" t="str">
        <x:v>度量场景测量</x:v>
      </x:c>
      <x:c r="C150" s="4" t="str">
        <x:v>VSI-Bench</x:v>
      </x:c>
      <x:c r="D150" s="4" t="str">
        <x:v>Absolute Distance</x:v>
      </x:c>
      <x:c r="E150" s="4" t="str">
        <x:v>Measuring from the closest point of each object, what is the distance between the sofa and the stove (in meters)?</x:v>
      </x:c>
      <x:c r="F150" s="4" t="str">
        <x:v>不适用（数值输出题）</x:v>
      </x:c>
      <x:c r="G150" s="4" t="str">
        <x:v>从每个物体的最近点开始测量，沙发和炉灶之间的距离是多少（以米为单位） ？</x:v>
      </x:c>
      <x:c r="H150" s="4" t="str">
        <x:v>R9</x:v>
      </x:c>
      <x:c r="I150" s="4" t="str">
        <x:v>R9</x:v>
      </x:c>
      <x:c r="J150" s="4" t="str">
        <x:v>估计物体最近点之间的米制距离，需要带尺度的局部场景表示；视频不给精确尺度时保留不确定性，不读取GT深度/网格。</x:v>
      </x:c>
      <x:c r="K150" s="4" t="str">
        <x:v>论文定义级核对；代表题按工作簿题干分析；未逐题观看视频</x:v>
      </x:c>
      <x:c r="L150" s="4" t="str">
        <x:v>src.vsi_bench.absolute_distance</x:v>
      </x:c>
      <x:c r="M150" s="4" t="str">
        <x:v>https://arxiv.org/pdf/2412.14171</x:v>
      </x:c>
      <x:c r="N150" s="4" t="str">
        <x:v>https://huggingface.co/datasets/nyu-visionx/VSI-Bench</x:v>
      </x:c>
    </x:row>
    <x:row r="151" ht="52" customHeight="1">
      <x:c r="A151" s="4" t="str">
        <x:v>P18</x:v>
      </x:c>
      <x:c r="B151" s="4" t="str">
        <x:v>度量场景测量</x:v>
      </x:c>
      <x:c r="C151" s="4" t="str">
        <x:v>VSI-Bench</x:v>
      </x:c>
      <x:c r="D151" s="4" t="str">
        <x:v>Object Size</x:v>
      </x:c>
      <x:c r="E151" s="4" t="str">
        <x:v>What is the length of the longest dimension (length, width, or height) of the stove, measured in centimeters?</x:v>
      </x:c>
      <x:c r="F151" s="4" t="str">
        <x:v>不适用（数值输出题）</x:v>
      </x:c>
      <x:c r="G151" s="4" t="str">
        <x:v>炉灶最长的一个维度（长、宽或高）是多少厘米？</x:v>
      </x:c>
      <x:c r="H151" s="4" t="str">
        <x:v>R9</x:v>
      </x:c>
      <x:c r="I151" s="4" t="str">
        <x:v>R9</x:v>
      </x:c>
      <x:c r="J151" s="4" t="str">
        <x:v>炉灶最长边的厘米数需要尺度估计及可见形状/多视角证据；单目估计并不保证精确。</x:v>
      </x:c>
      <x:c r="K151" s="4" t="str">
        <x:v>论文定义级核对；代表题按工作簿题干分析；未逐题观看视频</x:v>
      </x:c>
      <x:c r="L151" s="4" t="str">
        <x:v>src.vsi_bench.object_size</x:v>
      </x:c>
      <x:c r="M151" s="4" t="str">
        <x:v>https://arxiv.org/pdf/2412.14171</x:v>
      </x:c>
      <x:c r="N151" s="4" t="str">
        <x:v>https://huggingface.co/datasets/nyu-visionx/VSI-Bench</x:v>
      </x:c>
    </x:row>
    <x:row r="152" ht="66" customHeight="1">
      <x:c r="A152" s="4" t="str">
        <x:v>P18</x:v>
      </x:c>
      <x:c r="B152" s="4" t="str">
        <x:v>度量场景测量</x:v>
      </x:c>
      <x:c r="C152" s="4" t="str">
        <x:v>VSI-Bench</x:v>
      </x:c>
      <x:c r="D152" s="4" t="str">
        <x:v>Relative Distance</x:v>
      </x:c>
      <x:c r="E152" s="4" t="str">
        <x:v>Measuring from the closest point of each object, which of these objects (chair, stool, stove, sofa) is the closest to the tv?</x:v>
      </x:c>
      <x:c r="F152" s="4" t="str">
        <x:v>A. chair
B. stool
C. stove
D. sofa</x:v>
      </x:c>
      <x:c r="G152" s="4" t="str">
        <x:v>从每个物体的最近点开始测量，这些物体（椅子、凳子、炉子、沙发）中哪一个离电视最近？</x:v>
      </x:c>
      <x:c r="H152" s="4" t="str">
        <x:v>R9</x:v>
      </x:c>
      <x:c r="I152" s="4" t="str">
        <x:v>R9</x:v>
      </x:c>
      <x:c r="J152" s="4" t="str">
        <x:v>比较各物体与电视的最近距离，可用相对尺度/局部几何，不要求先恢复绝对米制地图。</x:v>
      </x:c>
      <x:c r="K152" s="4" t="str">
        <x:v>论文定义级核对；代表题按工作簿题干分析；未逐题观看视频</x:v>
      </x:c>
      <x:c r="L152" s="4" t="str">
        <x:v>src.vsi_bench.relative_distance</x:v>
      </x:c>
      <x:c r="M152" s="4" t="str">
        <x:v>https://arxiv.org/pdf/2412.14171</x:v>
      </x:c>
      <x:c r="N152" s="4" t="str">
        <x:v>https://huggingface.co/datasets/nyu-visionx/VSI-Bench</x:v>
      </x:c>
    </x:row>
    <x:row r="153" ht="80" customHeight="1">
      <x:c r="A153" s="4" t="str">
        <x:v>P18</x:v>
      </x:c>
      <x:c r="B153" s="4" t="str">
        <x:v>度量场景测量</x:v>
      </x:c>
      <x:c r="C153" s="4" t="str">
        <x:v>VSI-Bench</x:v>
      </x:c>
      <x:c r="D153" s="4" t="str">
        <x:v>Room Size</x:v>
      </x:c>
      <x:c r="E153" s="4" t="str">
        <x:v>What is the size of this room (in square meters)? 
If multiple rooms are shown, estimate the size of the combined space.</x:v>
      </x:c>
      <x:c r="F153" s="4" t="str">
        <x:v>不适用（数值输出题）</x:v>
      </x:c>
      <x:c r="G153" s="4" t="str">
        <x:v>这个房间的面积是多少（以平方米为单位） ？ 
如果显示多个房间，请估计合并空间的大小。</x:v>
      </x:c>
      <x:c r="H153" s="4" t="str">
        <x:v>R9</x:v>
      </x:c>
      <x:c r="I153" s="4" t="str">
        <x:v>R9</x:v>
      </x:c>
      <x:c r="J153" s="4" t="str">
        <x:v>房间/合并空间面积需要尺度与边界估计，遮挡和单目尺度不确定性是实际限制；禁止把标注用网格作为模型输入。</x:v>
      </x:c>
      <x:c r="K153" s="4" t="str">
        <x:v>论文定义级核对；代表题按工作簿题干分析；未逐题观看视频</x:v>
      </x:c>
      <x:c r="L153" s="4" t="str">
        <x:v>src.vsi_bench.room_size</x:v>
      </x:c>
      <x:c r="M153" s="4" t="str">
        <x:v>https://arxiv.org/pdf/2412.14171</x:v>
      </x:c>
      <x:c r="N153" s="4" t="str">
        <x:v>https://huggingface.co/datasets/nyu-visionx/VSI-Bench</x:v>
      </x:c>
    </x:row>
    <x:row r="154" ht="94" customHeight="1">
      <x:c r="A154" s="4" t="str">
        <x:v>P19</x:v>
      </x:c>
      <x:c r="B154" s="4" t="str">
        <x:v>拓扑路线规划</x:v>
      </x:c>
      <x:c r="C154" s="4" t="str">
        <x:v>MVBench</x:v>
      </x:c>
      <x:c r="D154" s="4" t="str">
        <x:v>Egocentric Navigation</x:v>
      </x:c>
      <x:c r="E154" s="4" t="str">
        <x:v>For an agent following instruction: 'Go left through the door.' What is the next action it should take?</x:v>
      </x:c>
      <x:c r="F154" s="4" t="str">
        <x:v>A. Turn left and move forward
B. Move forward
C. Stop
D. Turn right and move forward.</x:v>
      </x:c>
      <x:c r="G154" s="4" t="str">
        <x:v>一个智能体正在执行指令：“穿过门后向左走。”它下一步应该采取什么动作？</x:v>
      </x:c>
      <x:c r="H154" s="4" t="str">
        <x:v>R9</x:v>
      </x:c>
      <x:c r="I154" s="4" t="str">
        <x:v>R9</x:v>
      </x:c>
      <x:c r="J154" s="4" t="str">
        <x:v>根据指令和当前朝向判断下一步导航动作；不一定求全局最短路。</x:v>
      </x:c>
      <x:c r="K154" s="4" t="str">
        <x:v>论文定义级核对；代表题按工作簿题干分析；未逐题观看视频</x:v>
      </x:c>
      <x:c r="L154" s="4" t="str">
        <x:v>src.mvbench.egocentric_navigation</x:v>
      </x:c>
      <x:c r="M154" s="4" t="str">
        <x:v>https://arxiv.org/pdf/2311.17005</x:v>
      </x:c>
      <x:c r="N154" s="4" t="str">
        <x:v>https://huggingface.co/datasets/OpenGVLab/MVBench</x:v>
      </x:c>
    </x:row>
    <x:row r="155" ht="164" customHeight="1">
      <x:c r="A155" s="4" t="str">
        <x:v>P19</x:v>
      </x:c>
      <x:c r="B155" s="4" t="str">
        <x:v>拓扑路线规划</x:v>
      </x:c>
      <x:c r="C155" s="4" t="str">
        <x:v>VSI-Bench</x:v>
      </x:c>
      <x:c r="D155" s="4" t="str">
        <x:v>Route Plan</x:v>
      </x:c>
      <x:c r="E155" s="4" t="str">
        <x:v>You are a robot beginning at the bed facing the tv. You want to navigate to the toilet. You will perform the following actions (Note: for each [please fill in], choose either 'turn back,' 'turn left,' or 'turn right.'): 1. Go forward until the TV 2. [please fill in] 3. Go forward until the shower 4. [please fill in] 5. Go forward until the toilet. You have reached the final destination.</x:v>
      </x:c>
      <x:c r="F155" s="4" t="str">
        <x:v>A. Turn Back, Turn Left
B. Turn Left, Turn Left
C. Turn Left, Turn Right
D. Turn Right, Turn Right</x:v>
      </x:c>
      <x:c r="G155" s="4" t="str">
        <x:v>你是一个机器人，从床边出发并面向电视。你想导航到马桶。请执行以下动作（每个［请填写］处只能选择“向后转”“向左转”或“向右转”）：1. 向前走到电视；2.［请填写］；3. 向前走到淋浴间；4.［请填写］；5. 向前走到马桶。你已到达目的地。</x:v>
      </x:c>
      <x:c r="H155" s="4" t="str">
        <x:v>R9</x:v>
      </x:c>
      <x:c r="I155" s="4" t="str">
        <x:v>R9</x:v>
      </x:c>
      <x:c r="J155" s="4" t="str">
        <x:v>在给定短路线动作序列中补转向，重点是拓扑邻接与朝向状态；不能把所有此类题都说成求全局最短路径。</x:v>
      </x:c>
      <x:c r="K155" s="4" t="str">
        <x:v>论文定义级核对；代表题按工作簿题干分析；未逐题观看视频</x:v>
      </x:c>
      <x:c r="L155" s="4" t="str">
        <x:v>src.vsi_bench.route_plan</x:v>
      </x:c>
      <x:c r="M155" s="4" t="str">
        <x:v>https://arxiv.org/pdf/2412.14171</x:v>
      </x:c>
      <x:c r="N155" s="4" t="str">
        <x:v>https://huggingface.co/datasets/nyu-visionx/VSI-Bench</x:v>
      </x:c>
    </x:row>
    <x:row r="156" ht="66" customHeight="1">
      <x:c r="A156" s="4" t="str">
        <x:v>P20</x:v>
      </x:c>
      <x:c r="B156" s="4" t="str">
        <x:v>情景记忆查询与归约</x:v>
      </x:c>
      <x:c r="C156" s="4" t="str">
        <x:v>EgoLifeQA</x:v>
      </x:c>
      <x:c r="D156" s="4" t="str">
        <x:v>EntityLog</x:v>
      </x:c>
      <x:c r="E156" s="4" t="str">
        <x:v>Which price is closest to what we paid for one yogurt?</x:v>
      </x:c>
      <x:c r="F156" s="4" t="str">
        <x:v>A. RMB 2
B. RMB 3
C. RMB 4
D. RMB 5</x:v>
      </x:c>
      <x:c r="G156" s="4" t="str">
        <x:v>哪个价格最接近我们购买一杯酸奶所支付的价格？</x:v>
      </x:c>
      <x:c r="H156" s="4" t="str">
        <x:v>R8</x:v>
      </x:c>
      <x:c r="I156" s="4" t="str">
        <x:v>R1 | R8</x:v>
      </x:c>
      <x:c r="J156" s="4" t="str">
        <x:v>单价示例的证据是19.9元/6杯，需除法并匹配最近价格，不只是历史检索；直接问地点/价格明示值走R1。</x:v>
      </x:c>
      <x:c r="K156" s="4" t="str">
        <x:v>论文定义级核对；代表题按工作簿题干分析；未逐题观看视频</x:v>
      </x:c>
      <x:c r="L156" s="4" t="str">
        <x:v>src.egolifeqa.entitylog</x:v>
      </x:c>
      <x:c r="M156" s="4" t="str">
        <x:v>https://arxiv.org/html/2503.03803v2</x:v>
      </x:c>
      <x:c r="N156" s="4" t="str">
        <x:v>https://github.com/evolvinglmms-lab/egolife</x:v>
      </x:c>
    </x:row>
    <x:row r="157" ht="94" customHeight="1">
      <x:c r="A157" s="4" t="str">
        <x:v>P20</x:v>
      </x:c>
      <x:c r="B157" s="4" t="str">
        <x:v>情景记忆查询与归约</x:v>
      </x:c>
      <x:c r="C157" s="4" t="str">
        <x:v>EgoLifeQA</x:v>
      </x:c>
      <x:c r="D157" s="4" t="str">
        <x:v>EventRecall</x:v>
      </x:c>
      <x:c r="E157" s="4" t="str">
        <x:v>What was the first song mentioned after planning to dance?</x:v>
      </x:c>
      <x:c r="F157" s="4" t="str">
        <x:v>A. Why Not Dance
B. Mushroom
C. I Wanna Dance with Somebody
D. Never Gonna Give You Up</x:v>
      </x:c>
      <x:c r="G157" s="4" t="str">
        <x:v>计划跳舞后提到的第一首歌是什么？</x:v>
      </x:c>
      <x:c r="H157" s="4" t="str">
        <x:v>R3</x:v>
      </x:c>
      <x:c r="I157" s="4" t="str">
        <x:v>R1 | R3</x:v>
      </x:c>
      <x:c r="J157" s="4" t="str">
        <x:v>回忆一个事实用R1；示例问计划跳舞之后首先提及哪首歌，需在锚点后的事件/话语序列选首个。</x:v>
      </x:c>
      <x:c r="K157" s="4" t="str">
        <x:v>论文定义级核对；代表题按工作簿题干分析；未逐题观看视频</x:v>
      </x:c>
      <x:c r="L157" s="4" t="str">
        <x:v>src.egolifeqa.eventrecall</x:v>
      </x:c>
      <x:c r="M157" s="4" t="str">
        <x:v>https://arxiv.org/html/2503.03803v2</x:v>
      </x:c>
      <x:c r="N157" s="4" t="str">
        <x:v>https://github.com/evolvinglmms-lab/egolife</x:v>
      </x:c>
    </x:row>
    <x:row r="158" ht="94" customHeight="1">
      <x:c r="A158" s="4" t="str">
        <x:v>P20</x:v>
      </x:c>
      <x:c r="B158" s="4" t="str">
        <x:v>情景记忆查询与归约</x:v>
      </x:c>
      <x:c r="C158" s="4" t="str">
        <x:v>EgoLifeQA</x:v>
      </x:c>
      <x:c r="D158" s="4" t="str">
        <x:v>HabitInsight</x:v>
      </x:c>
      <x:c r="E158" s="4" t="str">
        <x:v>What activity do I usually do while drinking coffee?</x:v>
      </x:c>
      <x:c r="F158" s="4" t="str">
        <x:v>A. Scrolling through TikTok
B. Texting on the phone
C. Tidying up the room
D. Doing Craftwork</x:v>
      </x:c>
      <x:c r="G158" s="4" t="str">
        <x:v>喝咖啡时，我通常会做哪些活动？</x:v>
      </x:c>
      <x:c r="H158" s="4" t="str">
        <x:v>R3</x:v>
      </x:c>
      <x:c r="I158" s="4" t="str">
        <x:v>R3 | R6</x:v>
      </x:c>
      <x:c r="J158" s="4" t="str">
        <x:v>示例按多次喝咖啡事件统计伴随活动，而非一次检索或摘要；解释习惯原因才走R6。</x:v>
      </x:c>
      <x:c r="K158" s="4" t="str">
        <x:v>论文定义级核对；代表题按工作簿题干分析；未逐题观看视频</x:v>
      </x:c>
      <x:c r="L158" s="4" t="str">
        <x:v>src.egolifeqa.habitinsight</x:v>
      </x:c>
      <x:c r="M158" s="4" t="str">
        <x:v>https://arxiv.org/html/2503.03803v2</x:v>
      </x:c>
      <x:c r="N158" s="4" t="str">
        <x:v>https://github.com/evolvinglmms-lab/egolife</x:v>
      </x:c>
    </x:row>
    <x:row r="159" ht="66" customHeight="1">
      <x:c r="A159" s="4" t="str">
        <x:v>P20</x:v>
      </x:c>
      <x:c r="B159" s="4" t="str">
        <x:v>情景记忆查询与归约</x:v>
      </x:c>
      <x:c r="C159" s="4" t="str">
        <x:v>EgoLifeQA</x:v>
      </x:c>
      <x:c r="D159" s="4" t="str">
        <x:v>RelationMap</x:v>
      </x:c>
      <x:c r="E159" s="4" t="str">
        <x:v>Shure is playing the guitar now. Who else usually joins us playing guitar together?</x:v>
      </x:c>
      <x:c r="F159" s="4" t="str">
        <x:v>A. Choizst
B. Jake
C. Nicous
D. Lucia</x:v>
      </x:c>
      <x:c r="G159" s="4" t="str">
        <x:v>舒尔现在正在弹吉他。还有谁经常和我们一起弹吉他？</x:v>
      </x:c>
      <x:c r="H159" s="4" t="str">
        <x:v>R3</x:v>
      </x:c>
      <x:c r="I159" s="4" t="str">
        <x:v>R1 | R3 | R6</x:v>
      </x:c>
      <x:c r="J159" s="4" t="str">
        <x:v>Fig.5以共同弹吉他的频次比较人物；人际统计不等同社会心理推理。明示身份R1，频次R3，隐含关系R6。</x:v>
      </x:c>
      <x:c r="K159" s="4" t="str">
        <x:v>论文定义级核对；代表题按工作簿题干分析；未逐题观看视频</x:v>
      </x:c>
      <x:c r="L159" s="4" t="str">
        <x:v>src.egolifeqa.relationmap</x:v>
      </x:c>
      <x:c r="M159" s="4" t="str">
        <x:v>https://arxiv.org/html/2503.03803v2</x:v>
      </x:c>
      <x:c r="N159" s="4" t="str">
        <x:v>https://github.com/evolvinglmms-lab/egolife</x:v>
      </x:c>
    </x:row>
    <x:row r="160" ht="80" customHeight="1">
      <x:c r="A160" s="4" t="str">
        <x:v>P20</x:v>
      </x:c>
      <x:c r="B160" s="4" t="str">
        <x:v>情景记忆查询与归约</x:v>
      </x:c>
      <x:c r="C160" s="4" t="str">
        <x:v>EgoLifeQA</x:v>
      </x:c>
      <x:c r="D160" s="4" t="str">
        <x:v>TaskMaster</x:v>
      </x:c>
      <x:c r="E160" s="4" t="str">
        <x:v>Many things are in my cart already. What items that we previously discussed have I not bought yet?</x:v>
      </x:c>
      <x:c r="F160" s="4" t="str">
        <x:v>A. Milk
B. Chicken wings
C. Strawberries
D. Bananas</x:v>
      </x:c>
      <x:c r="G160" s="4" t="str">
        <x:v>我的购物车里已经有很多东西了。我们之前讨论过的哪些物品我还没买过？</x:v>
      </x:c>
      <x:c r="H160" s="4" t="str">
        <x:v>R4</x:v>
      </x:c>
      <x:c r="I160" s="4" t="str">
        <x:v>R4 | R6 | R7</x:v>
      </x:c>
      <x:c r="J160" s="4" t="str">
        <x:v>购物示例为计划清单减已购清单；任务规则/优先级解释用R6，真正未发生后果推演用R7。</x:v>
      </x:c>
      <x:c r="K160" s="4" t="str">
        <x:v>论文定义级核对；代表题按工作簿题干分析；未逐题观看视频</x:v>
      </x:c>
      <x:c r="L160" s="4" t="str">
        <x:v>src.egolifeqa.taskmaster</x:v>
      </x:c>
      <x:c r="M160" s="4" t="str">
        <x:v>https://arxiv.org/html/2503.03803v2</x:v>
      </x:c>
      <x:c r="N160" s="4" t="str">
        <x:v>https://github.com/evolvinglmms-lab/egolife</x:v>
      </x:c>
    </x:row>
  </x:sheetData>
  <x:pageMargins left="0.7" right="0.7" top="0.75" bottom="0.75" header="0.3" footer="0.3"/>
  <x:tableParts count="1">
    <x:tablePart xmlns:r="http://schemas.openxmlformats.org/officeDocument/2006/relationships" r:id="R4126d34c15954a50"/>
  </x:tableParts>
</x:worksheet>
</file>

<file path=xl/worksheets/sheet7.xml><?xml version="1.0" encoding="utf-8"?>
<x:worksheet xmlns:x="http://schemas.openxmlformats.org/spreadsheetml/2006/main">
  <x:sheetFormatPr defaultRowHeight="15"/>
  <x:cols>
    <x:col min="1" max="1" width="36" hidden="0" customWidth="1"/>
    <x:col min="2" max="2" width="34" hidden="0" customWidth="1"/>
    <x:col min="3" max="3" width="20" hidden="0" customWidth="1"/>
    <x:col min="4" max="4" width="32" hidden="0" customWidth="1"/>
    <x:col min="5" max="5" width="12" hidden="0" customWidth="1"/>
    <x:col min="6" max="6" width="25" hidden="0" customWidth="1"/>
    <x:col min="7" max="7" width="24" hidden="0" customWidth="1"/>
    <x:col min="8" max="8" width="20" hidden="0" customWidth="1"/>
    <x:col min="9" max="9" width="10" hidden="0" customWidth="1"/>
    <x:col min="10" max="10" width="22" hidden="0" customWidth="1"/>
    <x:col min="11" max="11" width="12" hidden="0" customWidth="1"/>
    <x:col min="12" max="12" width="16" hidden="0" customWidth="1"/>
    <x:col min="13" max="13" width="18" hidden="0" customWidth="1"/>
    <x:col min="14" max="14" width="15" hidden="0" customWidth="1"/>
    <x:col min="15" max="15" width="18" hidden="0" customWidth="1"/>
    <x:col min="16" max="16" width="18" hidden="0" customWidth="1"/>
    <x:col min="17" max="17" width="22" hidden="0" customWidth="1"/>
    <x:col min="18" max="18" width="22" hidden="0" customWidth="1"/>
    <x:col min="19" max="19" width="22" hidden="0" customWidth="1"/>
    <x:col min="20" max="20" width="12" hidden="0" customWidth="1"/>
    <x:col min="21" max="21" width="22" hidden="0" customWidth="1"/>
    <x:col min="22" max="22" width="14" hidden="0" customWidth="1"/>
    <x:col min="23" max="23" width="14" hidden="0" customWidth="1"/>
    <x:col min="24" max="24" width="36" hidden="0" customWidth="1"/>
    <x:col min="25" max="25" width="16" hidden="0" customWidth="1"/>
    <x:col min="26" max="26" width="22" hidden="0" customWidth="1"/>
    <x:col min="27" max="27" width="40" hidden="0" customWidth="1"/>
    <x:col min="28" max="28" width="40" hidden="0" customWidth="1"/>
  </x:cols>
  <x:sheetData>
    <x:row r="1" ht="42" customHeight="1">
      <x:c r="A1" s="10" t="str">
        <x:v>Condition ID</x:v>
      </x:c>
      <x:c r="B1" s="10" t="str">
        <x:v>Source ID</x:v>
      </x:c>
      <x:c r="C1" s="10" t="str">
        <x:v>Benchmark</x:v>
      </x:c>
      <x:c r="D1" s="10" t="str">
        <x:v>论文原生题型</x:v>
      </x:c>
      <x:c r="E1" s="10" t="str">
        <x:v>Task Code</x:v>
      </x:c>
      <x:c r="F1" s="10" t="str">
        <x:v>Data split</x:v>
      </x:c>
      <x:c r="G1" s="10" t="str">
        <x:v>输入模态</x:v>
      </x:c>
      <x:c r="H1" s="10" t="str">
        <x:v>输出形式</x:v>
      </x:c>
      <x:c r="I1" s="10" t="str">
        <x:v>选项数</x:v>
      </x:c>
      <x:c r="J1" s="10" t="str">
        <x:v>指标</x:v>
      </x:c>
      <x:c r="K1" s="10" t="str">
        <x:v>样本数</x:v>
      </x:c>
      <x:c r="L1" s="10" t="str">
        <x:v>Wrapper</x:v>
      </x:c>
      <x:c r="M1" s="10" t="str">
        <x:v>资源预算状态</x:v>
      </x:c>
      <x:c r="N1" s="10" t="str">
        <x:v>max_frames</x:v>
      </x:c>
      <x:c r="O1" s="10" t="str">
        <x:v>max_visual_tokens</x:v>
      </x:c>
      <x:c r="P1" s="10" t="str">
        <x:v>max_text_tokens</x:v>
      </x:c>
      <x:c r="Q1" s="10" t="str">
        <x:v>context_window_tokens</x:v>
      </x:c>
      <x:c r="R1" s="10" t="str">
        <x:v>G候选</x:v>
      </x:c>
      <x:c r="S1" s="10" t="str">
        <x:v>P候选</x:v>
      </x:c>
      <x:c r="T1" s="10" t="str">
        <x:v>P候选数</x:v>
      </x:c>
      <x:c r="U1" s="10" t="str">
        <x:v>P映射状态</x:v>
      </x:c>
      <x:c r="V1" s="10" t="str">
        <x:v>候选主P</x:v>
      </x:c>
      <x:c r="W1" s="10" t="str">
        <x:v>后端</x:v>
      </x:c>
      <x:c r="X1" s="10" t="str">
        <x:v>备注</x:v>
      </x:c>
      <x:c r="Y1" s="10" t="str">
        <x:v>建议默认R（需子型）</x:v>
      </x:c>
      <x:c r="Z1" s="10" t="str">
        <x:v>条件候选R</x:v>
      </x:c>
      <x:c r="AA1" s="10" t="str">
        <x:v>继承与核验范围</x:v>
      </x:c>
      <x:c r="AB1" s="10" t="str">
        <x:v>执行子型规则</x:v>
      </x:c>
    </x:row>
    <x:row r="2" ht="52" customHeight="1">
      <x:c r="A2" s="4" t="str">
        <x:v>src.egolifeqa.entitylog.c01</x:v>
      </x:c>
      <x:c r="B2" s="4" t="str">
        <x:v>src.egolifeqa.entitylog</x:v>
      </x:c>
      <x:c r="C2" s="4" t="str">
        <x:v>EgoLifeQA</x:v>
      </x:c>
      <x:c r="D2" s="4" t="str">
        <x:v>EntityLog</x:v>
      </x:c>
      <x:c r="E2" s="4" t="str">
        <x:v>—</x:v>
      </x:c>
      <x:c r="F2" s="4" t="str">
        <x:v>EGAgent/Jake-500</x:v>
      </x:c>
      <x:c r="G2" s="4" t="str">
        <x:v>video+subtitle/audio</x:v>
      </x:c>
      <x:c r="H2" s="4" t="str">
        <x:v>K选1</x:v>
      </x:c>
      <x:c r="I2" s="4" t="str">
        <x:v>4</x:v>
      </x:c>
      <x:c r="J2" s="4" t="str">
        <x:v>Accuracy</x:v>
      </x:c>
      <x:c r="K2" s="4" t="n">
        <x:v>125</x:v>
      </x:c>
      <x:c r="L2" s="4" t="str">
        <x:v>无</x:v>
      </x:c>
      <x:c r="M2" s="4" t="str">
        <x:v>unresolved</x:v>
      </x:c>
      <x:c r="N2" s="4" t="str">
        <x:v>unresolved</x:v>
      </x:c>
      <x:c r="O2" s="4" t="str">
        <x:v>unresolved</x:v>
      </x:c>
      <x:c r="P2" s="4" t="str">
        <x:v>unresolved</x:v>
      </x:c>
      <x:c r="Q2" s="4" t="str">
        <x:v>unresolved</x:v>
      </x:c>
      <x:c r="R2" s="4" t="str">
        <x:v>G35</x:v>
      </x:c>
      <x:c r="S2" s="4" t="str">
        <x:v>P20</x:v>
      </x:c>
      <x:c r="T2" s="4" t="n">
        <x:v>1</x:v>
      </x:c>
      <x:c r="U2" s="4" t="str">
        <x:v>唯一P候选</x:v>
      </x:c>
      <x:c r="V2" s="4" t="str">
        <x:v>P20</x:v>
      </x:c>
      <x:c r="W2" s="4" t="str">
        <x:v>B2</x:v>
      </x:c>
      <x:c r="X2" s="4" t="str">
        <x:v>—</x:v>
      </x:c>
      <x:c r="Y2" s="4" t="str">
        <x:v>R1</x:v>
      </x:c>
      <x:c r="Z2" s="4" t="str">
        <x:v>R1 | R8</x:v>
      </x:c>
      <x:c r="AA2" s="4" t="str">
        <x:v>原条件原样继承，未独立验证split/样本量/预算有效性；执行先检查可用模态、query_time和官方评分协议</x:v>
      </x:c>
      <x:c r="AB2" s="4" t="str">
        <x:v>单价示例的证据是19.9元/6杯，需除法并匹配最近价格，不只是历史检索；直接问地点/价格明示值走R1。</x:v>
      </x:c>
    </x:row>
    <x:row r="3" ht="52" customHeight="1">
      <x:c r="A3" s="4" t="str">
        <x:v>src.egolifeqa.entitylog.c02</x:v>
      </x:c>
      <x:c r="B3" s="4" t="str">
        <x:v>src.egolifeqa.entitylog</x:v>
      </x:c>
      <x:c r="C3" s="4" t="str">
        <x:v>EgoLifeQA</x:v>
      </x:c>
      <x:c r="D3" s="4" t="str">
        <x:v>EntityLog</x:v>
      </x:c>
      <x:c r="E3" s="4" t="str">
        <x:v>—</x:v>
      </x:c>
      <x:c r="F3" s="4" t="str">
        <x:v>original/full-3000</x:v>
      </x:c>
      <x:c r="G3" s="4" t="str">
        <x:v>video+subtitle/audio</x:v>
      </x:c>
      <x:c r="H3" s="4" t="str">
        <x:v>K选1</x:v>
      </x:c>
      <x:c r="I3" s="4" t="str">
        <x:v>4</x:v>
      </x:c>
      <x:c r="J3" s="4" t="str">
        <x:v>Accuracy</x:v>
      </x:c>
      <x:c r="K3" s="4" t="n">
        <x:v>753</x:v>
      </x:c>
      <x:c r="L3" s="4" t="str">
        <x:v>无</x:v>
      </x:c>
      <x:c r="M3" s="4" t="str">
        <x:v>unresolved</x:v>
      </x:c>
      <x:c r="N3" s="4" t="str">
        <x:v>unresolved</x:v>
      </x:c>
      <x:c r="O3" s="4" t="str">
        <x:v>unresolved</x:v>
      </x:c>
      <x:c r="P3" s="4" t="str">
        <x:v>unresolved</x:v>
      </x:c>
      <x:c r="Q3" s="4" t="str">
        <x:v>unresolved</x:v>
      </x:c>
      <x:c r="R3" s="4" t="str">
        <x:v>G35</x:v>
      </x:c>
      <x:c r="S3" s="4" t="str">
        <x:v>P20</x:v>
      </x:c>
      <x:c r="T3" s="4" t="n">
        <x:v>1</x:v>
      </x:c>
      <x:c r="U3" s="4" t="str">
        <x:v>唯一P候选</x:v>
      </x:c>
      <x:c r="V3" s="4" t="str">
        <x:v>P20</x:v>
      </x:c>
      <x:c r="W3" s="4" t="str">
        <x:v>B2</x:v>
      </x:c>
      <x:c r="X3" s="4" t="str">
        <x:v>—</x:v>
      </x:c>
      <x:c r="Y3" s="4" t="str">
        <x:v>R1</x:v>
      </x:c>
      <x:c r="Z3" s="4" t="str">
        <x:v>R1 | R8</x:v>
      </x:c>
      <x:c r="AA3" s="4" t="str">
        <x:v>原条件原样继承，未独立验证split/样本量/预算有效性；执行先检查可用模态、query_time和官方评分协议</x:v>
      </x:c>
      <x:c r="AB3" s="4" t="str">
        <x:v>单价示例的证据是19.9元/6杯，需除法并匹配最近价格，不只是历史检索；直接问地点/价格明示值走R1。</x:v>
      </x:c>
    </x:row>
    <x:row r="4" ht="52" customHeight="1">
      <x:c r="A4" s="4" t="str">
        <x:v>src.egolifeqa.eventrecall.c01</x:v>
      </x:c>
      <x:c r="B4" s="4" t="str">
        <x:v>src.egolifeqa.eventrecall</x:v>
      </x:c>
      <x:c r="C4" s="4" t="str">
        <x:v>EgoLifeQA</x:v>
      </x:c>
      <x:c r="D4" s="4" t="str">
        <x:v>EventRecall</x:v>
      </x:c>
      <x:c r="E4" s="4" t="str">
        <x:v>—</x:v>
      </x:c>
      <x:c r="F4" s="4" t="str">
        <x:v>EGAgent/Jake-500</x:v>
      </x:c>
      <x:c r="G4" s="4" t="str">
        <x:v>video+subtitle/audio</x:v>
      </x:c>
      <x:c r="H4" s="4" t="str">
        <x:v>K选1</x:v>
      </x:c>
      <x:c r="I4" s="4" t="str">
        <x:v>4</x:v>
      </x:c>
      <x:c r="J4" s="4" t="str">
        <x:v>Accuracy</x:v>
      </x:c>
      <x:c r="K4" s="4" t="n">
        <x:v>126</x:v>
      </x:c>
      <x:c r="L4" s="4" t="str">
        <x:v>无</x:v>
      </x:c>
      <x:c r="M4" s="4" t="str">
        <x:v>unresolved</x:v>
      </x:c>
      <x:c r="N4" s="4" t="str">
        <x:v>unresolved</x:v>
      </x:c>
      <x:c r="O4" s="4" t="str">
        <x:v>unresolved</x:v>
      </x:c>
      <x:c r="P4" s="4" t="str">
        <x:v>unresolved</x:v>
      </x:c>
      <x:c r="Q4" s="4" t="str">
        <x:v>unresolved</x:v>
      </x:c>
      <x:c r="R4" s="4" t="str">
        <x:v>G35</x:v>
      </x:c>
      <x:c r="S4" s="4" t="str">
        <x:v>P20</x:v>
      </x:c>
      <x:c r="T4" s="4" t="n">
        <x:v>1</x:v>
      </x:c>
      <x:c r="U4" s="4" t="str">
        <x:v>唯一P候选</x:v>
      </x:c>
      <x:c r="V4" s="4" t="str">
        <x:v>P20</x:v>
      </x:c>
      <x:c r="W4" s="4" t="str">
        <x:v>B2</x:v>
      </x:c>
      <x:c r="X4" s="4" t="str">
        <x:v>—</x:v>
      </x:c>
      <x:c r="Y4" s="4" t="str">
        <x:v>R1</x:v>
      </x:c>
      <x:c r="Z4" s="4" t="str">
        <x:v>R1 | R3</x:v>
      </x:c>
      <x:c r="AA4" s="4" t="str">
        <x:v>原条件原样继承，未独立验证split/样本量/预算有效性；执行先检查可用模态、query_time和官方评分协议</x:v>
      </x:c>
      <x:c r="AB4" s="4" t="str">
        <x:v>回忆一个事实用R1；示例问计划跳舞之后首先提及哪首歌，需在锚点后的事件/话语序列选首个。</x:v>
      </x:c>
    </x:row>
    <x:row r="5" ht="52" customHeight="1">
      <x:c r="A5" s="4" t="str">
        <x:v>src.egolifeqa.eventrecall.c02</x:v>
      </x:c>
      <x:c r="B5" s="4" t="str">
        <x:v>src.egolifeqa.eventrecall</x:v>
      </x:c>
      <x:c r="C5" s="4" t="str">
        <x:v>EgoLifeQA</x:v>
      </x:c>
      <x:c r="D5" s="4" t="str">
        <x:v>EventRecall</x:v>
      </x:c>
      <x:c r="E5" s="4" t="str">
        <x:v>—</x:v>
      </x:c>
      <x:c r="F5" s="4" t="str">
        <x:v>original/full-3000</x:v>
      </x:c>
      <x:c r="G5" s="4" t="str">
        <x:v>video+subtitle/audio</x:v>
      </x:c>
      <x:c r="H5" s="4" t="str">
        <x:v>K选1</x:v>
      </x:c>
      <x:c r="I5" s="4" t="str">
        <x:v>4</x:v>
      </x:c>
      <x:c r="J5" s="4" t="str">
        <x:v>Accuracy</x:v>
      </x:c>
      <x:c r="K5" s="4" t="n">
        <x:v>751</x:v>
      </x:c>
      <x:c r="L5" s="4" t="str">
        <x:v>无</x:v>
      </x:c>
      <x:c r="M5" s="4" t="str">
        <x:v>unresolved</x:v>
      </x:c>
      <x:c r="N5" s="4" t="str">
        <x:v>unresolved</x:v>
      </x:c>
      <x:c r="O5" s="4" t="str">
        <x:v>unresolved</x:v>
      </x:c>
      <x:c r="P5" s="4" t="str">
        <x:v>unresolved</x:v>
      </x:c>
      <x:c r="Q5" s="4" t="str">
        <x:v>unresolved</x:v>
      </x:c>
      <x:c r="R5" s="4" t="str">
        <x:v>G35</x:v>
      </x:c>
      <x:c r="S5" s="4" t="str">
        <x:v>P20</x:v>
      </x:c>
      <x:c r="T5" s="4" t="n">
        <x:v>1</x:v>
      </x:c>
      <x:c r="U5" s="4" t="str">
        <x:v>唯一P候选</x:v>
      </x:c>
      <x:c r="V5" s="4" t="str">
        <x:v>P20</x:v>
      </x:c>
      <x:c r="W5" s="4" t="str">
        <x:v>B2</x:v>
      </x:c>
      <x:c r="X5" s="4" t="str">
        <x:v>—</x:v>
      </x:c>
      <x:c r="Y5" s="4" t="str">
        <x:v>R1</x:v>
      </x:c>
      <x:c r="Z5" s="4" t="str">
        <x:v>R1 | R3</x:v>
      </x:c>
      <x:c r="AA5" s="4" t="str">
        <x:v>原条件原样继承，未独立验证split/样本量/预算有效性；执行先检查可用模态、query_time和官方评分协议</x:v>
      </x:c>
      <x:c r="AB5" s="4" t="str">
        <x:v>回忆一个事实用R1；示例问计划跳舞之后首先提及哪首歌，需在锚点后的事件/话语序列选首个。</x:v>
      </x:c>
    </x:row>
    <x:row r="6" ht="52" customHeight="1">
      <x:c r="A6" s="4" t="str">
        <x:v>src.egolifeqa.habitinsight.c01</x:v>
      </x:c>
      <x:c r="B6" s="4" t="str">
        <x:v>src.egolifeqa.habitinsight</x:v>
      </x:c>
      <x:c r="C6" s="4" t="str">
        <x:v>EgoLifeQA</x:v>
      </x:c>
      <x:c r="D6" s="4" t="str">
        <x:v>HabitInsight</x:v>
      </x:c>
      <x:c r="E6" s="4" t="str">
        <x:v>—</x:v>
      </x:c>
      <x:c r="F6" s="4" t="str">
        <x:v>EGAgent/Jake-500</x:v>
      </x:c>
      <x:c r="G6" s="4" t="str">
        <x:v>video+subtitle/audio</x:v>
      </x:c>
      <x:c r="H6" s="4" t="str">
        <x:v>K选1</x:v>
      </x:c>
      <x:c r="I6" s="4" t="str">
        <x:v>4</x:v>
      </x:c>
      <x:c r="J6" s="4" t="str">
        <x:v>Accuracy</x:v>
      </x:c>
      <x:c r="K6" s="4" t="n">
        <x:v>61</x:v>
      </x:c>
      <x:c r="L6" s="4" t="str">
        <x:v>无</x:v>
      </x:c>
      <x:c r="M6" s="4" t="str">
        <x:v>unresolved</x:v>
      </x:c>
      <x:c r="N6" s="4" t="str">
        <x:v>unresolved</x:v>
      </x:c>
      <x:c r="O6" s="4" t="str">
        <x:v>unresolved</x:v>
      </x:c>
      <x:c r="P6" s="4" t="str">
        <x:v>unresolved</x:v>
      </x:c>
      <x:c r="Q6" s="4" t="str">
        <x:v>unresolved</x:v>
      </x:c>
      <x:c r="R6" s="4" t="str">
        <x:v>G36</x:v>
      </x:c>
      <x:c r="S6" s="4" t="str">
        <x:v>P20</x:v>
      </x:c>
      <x:c r="T6" s="4" t="n">
        <x:v>1</x:v>
      </x:c>
      <x:c r="U6" s="4" t="str">
        <x:v>唯一P候选</x:v>
      </x:c>
      <x:c r="V6" s="4" t="str">
        <x:v>P20</x:v>
      </x:c>
      <x:c r="W6" s="4" t="str">
        <x:v>B2</x:v>
      </x:c>
      <x:c r="X6" s="4" t="str">
        <x:v>—</x:v>
      </x:c>
      <x:c r="Y6" s="4" t="str">
        <x:v>R3</x:v>
      </x:c>
      <x:c r="Z6" s="4" t="str">
        <x:v>R3 | R6</x:v>
      </x:c>
      <x:c r="AA6" s="4" t="str">
        <x:v>原条件原样继承，未独立验证split/样本量/预算有效性；执行先检查可用模态、query_time和官方评分协议</x:v>
      </x:c>
      <x:c r="AB6" s="4" t="str">
        <x:v>示例按多次喝咖啡事件统计伴随活动，而非一次检索或摘要；解释习惯原因才走R6。</x:v>
      </x:c>
    </x:row>
    <x:row r="7" ht="52" customHeight="1">
      <x:c r="A7" s="4" t="str">
        <x:v>src.egolifeqa.habitinsight.c02</x:v>
      </x:c>
      <x:c r="B7" s="4" t="str">
        <x:v>src.egolifeqa.habitinsight</x:v>
      </x:c>
      <x:c r="C7" s="4" t="str">
        <x:v>EgoLifeQA</x:v>
      </x:c>
      <x:c r="D7" s="4" t="str">
        <x:v>HabitInsight</x:v>
      </x:c>
      <x:c r="E7" s="4" t="str">
        <x:v>—</x:v>
      </x:c>
      <x:c r="F7" s="4" t="str">
        <x:v>original/full-3000</x:v>
      </x:c>
      <x:c r="G7" s="4" t="str">
        <x:v>video+subtitle/audio</x:v>
      </x:c>
      <x:c r="H7" s="4" t="str">
        <x:v>K选1</x:v>
      </x:c>
      <x:c r="I7" s="4" t="str">
        <x:v>4</x:v>
      </x:c>
      <x:c r="J7" s="4" t="str">
        <x:v>Accuracy</x:v>
      </x:c>
      <x:c r="K7" s="4" t="n">
        <x:v>378</x:v>
      </x:c>
      <x:c r="L7" s="4" t="str">
        <x:v>无</x:v>
      </x:c>
      <x:c r="M7" s="4" t="str">
        <x:v>unresolved</x:v>
      </x:c>
      <x:c r="N7" s="4" t="str">
        <x:v>unresolved</x:v>
      </x:c>
      <x:c r="O7" s="4" t="str">
        <x:v>unresolved</x:v>
      </x:c>
      <x:c r="P7" s="4" t="str">
        <x:v>unresolved</x:v>
      </x:c>
      <x:c r="Q7" s="4" t="str">
        <x:v>unresolved</x:v>
      </x:c>
      <x:c r="R7" s="4" t="str">
        <x:v>G36</x:v>
      </x:c>
      <x:c r="S7" s="4" t="str">
        <x:v>P20</x:v>
      </x:c>
      <x:c r="T7" s="4" t="n">
        <x:v>1</x:v>
      </x:c>
      <x:c r="U7" s="4" t="str">
        <x:v>唯一P候选</x:v>
      </x:c>
      <x:c r="V7" s="4" t="str">
        <x:v>P20</x:v>
      </x:c>
      <x:c r="W7" s="4" t="str">
        <x:v>B2</x:v>
      </x:c>
      <x:c r="X7" s="4" t="str">
        <x:v>—</x:v>
      </x:c>
      <x:c r="Y7" s="4" t="str">
        <x:v>R3</x:v>
      </x:c>
      <x:c r="Z7" s="4" t="str">
        <x:v>R3 | R6</x:v>
      </x:c>
      <x:c r="AA7" s="4" t="str">
        <x:v>原条件原样继承，未独立验证split/样本量/预算有效性；执行先检查可用模态、query_time和官方评分协议</x:v>
      </x:c>
      <x:c r="AB7" s="4" t="str">
        <x:v>示例按多次喝咖啡事件统计伴随活动，而非一次检索或摘要；解释习惯原因才走R6。</x:v>
      </x:c>
    </x:row>
    <x:row r="8" ht="52" customHeight="1">
      <x:c r="A8" s="4" t="str">
        <x:v>src.egolifeqa.relationmap.c01</x:v>
      </x:c>
      <x:c r="B8" s="4" t="str">
        <x:v>src.egolifeqa.relationmap</x:v>
      </x:c>
      <x:c r="C8" s="4" t="str">
        <x:v>EgoLifeQA</x:v>
      </x:c>
      <x:c r="D8" s="4" t="str">
        <x:v>RelationMap</x:v>
      </x:c>
      <x:c r="E8" s="4" t="str">
        <x:v>—</x:v>
      </x:c>
      <x:c r="F8" s="4" t="str">
        <x:v>EGAgent/Jake-500</x:v>
      </x:c>
      <x:c r="G8" s="4" t="str">
        <x:v>video+subtitle/audio</x:v>
      </x:c>
      <x:c r="H8" s="4" t="str">
        <x:v>K选1</x:v>
      </x:c>
      <x:c r="I8" s="4" t="str">
        <x:v>4</x:v>
      </x:c>
      <x:c r="J8" s="4" t="str">
        <x:v>Accuracy</x:v>
      </x:c>
      <x:c r="K8" s="4" t="n">
        <x:v>125</x:v>
      </x:c>
      <x:c r="L8" s="4" t="str">
        <x:v>无</x:v>
      </x:c>
      <x:c r="M8" s="4" t="str">
        <x:v>unresolved</x:v>
      </x:c>
      <x:c r="N8" s="4" t="str">
        <x:v>unresolved</x:v>
      </x:c>
      <x:c r="O8" s="4" t="str">
        <x:v>unresolved</x:v>
      </x:c>
      <x:c r="P8" s="4" t="str">
        <x:v>unresolved</x:v>
      </x:c>
      <x:c r="Q8" s="4" t="str">
        <x:v>unresolved</x:v>
      </x:c>
      <x:c r="R8" s="4" t="str">
        <x:v>G32 | G36</x:v>
      </x:c>
      <x:c r="S8" s="4" t="str">
        <x:v>P11 | P20</x:v>
      </x:c>
      <x:c r="T8" s="4" t="n">
        <x:v>2</x:v>
      </x:c>
      <x:c r="U8" s="4" t="str">
        <x:v>待P样本拆分</x:v>
      </x:c>
      <x:c r="V8" s="4" t="str">
        <x:v>unresolved</x:v>
      </x:c>
      <x:c r="W8" s="4" t="str">
        <x:v>B2</x:v>
      </x:c>
      <x:c r="X8" s="4" t="str">
        <x:v>—</x:v>
      </x:c>
      <x:c r="Y8" s="4" t="str">
        <x:v>R3</x:v>
      </x:c>
      <x:c r="Z8" s="4" t="str">
        <x:v>R1 | R3 | R6</x:v>
      </x:c>
      <x:c r="AA8" s="4" t="str">
        <x:v>原条件原样继承，未独立验证split/样本量/预算有效性；执行先检查可用模态、query_time和官方评分协议</x:v>
      </x:c>
      <x:c r="AB8" s="4" t="str">
        <x:v>Fig.5以共同弹吉他的频次比较人物；人际统计不等同社会心理推理。明示身份R1，频次R3，隐含关系R6。</x:v>
      </x:c>
    </x:row>
    <x:row r="9" ht="52" customHeight="1">
      <x:c r="A9" s="4" t="str">
        <x:v>src.egolifeqa.relationmap.c02</x:v>
      </x:c>
      <x:c r="B9" s="4" t="str">
        <x:v>src.egolifeqa.relationmap</x:v>
      </x:c>
      <x:c r="C9" s="4" t="str">
        <x:v>EgoLifeQA</x:v>
      </x:c>
      <x:c r="D9" s="4" t="str">
        <x:v>RelationMap</x:v>
      </x:c>
      <x:c r="E9" s="4" t="str">
        <x:v>—</x:v>
      </x:c>
      <x:c r="F9" s="4" t="str">
        <x:v>original/full-3000</x:v>
      </x:c>
      <x:c r="G9" s="4" t="str">
        <x:v>video+subtitle/audio</x:v>
      </x:c>
      <x:c r="H9" s="4" t="str">
        <x:v>K选1</x:v>
      </x:c>
      <x:c r="I9" s="4" t="str">
        <x:v>4</x:v>
      </x:c>
      <x:c r="J9" s="4" t="str">
        <x:v>Accuracy</x:v>
      </x:c>
      <x:c r="K9" s="4" t="n">
        <x:v>754</x:v>
      </x:c>
      <x:c r="L9" s="4" t="str">
        <x:v>无</x:v>
      </x:c>
      <x:c r="M9" s="4" t="str">
        <x:v>unresolved</x:v>
      </x:c>
      <x:c r="N9" s="4" t="str">
        <x:v>unresolved</x:v>
      </x:c>
      <x:c r="O9" s="4" t="str">
        <x:v>unresolved</x:v>
      </x:c>
      <x:c r="P9" s="4" t="str">
        <x:v>unresolved</x:v>
      </x:c>
      <x:c r="Q9" s="4" t="str">
        <x:v>unresolved</x:v>
      </x:c>
      <x:c r="R9" s="4" t="str">
        <x:v>G32 | G36</x:v>
      </x:c>
      <x:c r="S9" s="4" t="str">
        <x:v>P11 | P20</x:v>
      </x:c>
      <x:c r="T9" s="4" t="n">
        <x:v>2</x:v>
      </x:c>
      <x:c r="U9" s="4" t="str">
        <x:v>待P样本拆分</x:v>
      </x:c>
      <x:c r="V9" s="4" t="str">
        <x:v>unresolved</x:v>
      </x:c>
      <x:c r="W9" s="4" t="str">
        <x:v>B2</x:v>
      </x:c>
      <x:c r="X9" s="4" t="str">
        <x:v>—</x:v>
      </x:c>
      <x:c r="Y9" s="4" t="str">
        <x:v>R3</x:v>
      </x:c>
      <x:c r="Z9" s="4" t="str">
        <x:v>R1 | R3 | R6</x:v>
      </x:c>
      <x:c r="AA9" s="4" t="str">
        <x:v>原条件原样继承，未独立验证split/样本量/预算有效性；执行先检查可用模态、query_time和官方评分协议</x:v>
      </x:c>
      <x:c r="AB9" s="4" t="str">
        <x:v>Fig.5以共同弹吉他的频次比较人物；人际统计不等同社会心理推理。明示身份R1，频次R3，隐含关系R6。</x:v>
      </x:c>
    </x:row>
    <x:row r="10" ht="52" customHeight="1">
      <x:c r="A10" s="4" t="str">
        <x:v>src.egolifeqa.taskmaster.c01</x:v>
      </x:c>
      <x:c r="B10" s="4" t="str">
        <x:v>src.egolifeqa.taskmaster</x:v>
      </x:c>
      <x:c r="C10" s="4" t="str">
        <x:v>EgoLifeQA</x:v>
      </x:c>
      <x:c r="D10" s="4" t="str">
        <x:v>TaskMaster</x:v>
      </x:c>
      <x:c r="E10" s="4" t="str">
        <x:v>—</x:v>
      </x:c>
      <x:c r="F10" s="4" t="str">
        <x:v>EGAgent/Jake-500</x:v>
      </x:c>
      <x:c r="G10" s="4" t="str">
        <x:v>video+subtitle/audio</x:v>
      </x:c>
      <x:c r="H10" s="4" t="str">
        <x:v>K选1</x:v>
      </x:c>
      <x:c r="I10" s="4" t="str">
        <x:v>4</x:v>
      </x:c>
      <x:c r="J10" s="4" t="str">
        <x:v>Accuracy</x:v>
      </x:c>
      <x:c r="K10" s="4" t="n">
        <x:v>63</x:v>
      </x:c>
      <x:c r="L10" s="4" t="str">
        <x:v>无</x:v>
      </x:c>
      <x:c r="M10" s="4" t="str">
        <x:v>unresolved</x:v>
      </x:c>
      <x:c r="N10" s="4" t="str">
        <x:v>unresolved</x:v>
      </x:c>
      <x:c r="O10" s="4" t="str">
        <x:v>unresolved</x:v>
      </x:c>
      <x:c r="P10" s="4" t="str">
        <x:v>unresolved</x:v>
      </x:c>
      <x:c r="Q10" s="4" t="str">
        <x:v>unresolved</x:v>
      </x:c>
      <x:c r="R10" s="4" t="str">
        <x:v>G37</x:v>
      </x:c>
      <x:c r="S10" s="4" t="str">
        <x:v>P20</x:v>
      </x:c>
      <x:c r="T10" s="4" t="n">
        <x:v>1</x:v>
      </x:c>
      <x:c r="U10" s="4" t="str">
        <x:v>唯一P候选</x:v>
      </x:c>
      <x:c r="V10" s="4" t="str">
        <x:v>P20</x:v>
      </x:c>
      <x:c r="W10" s="4" t="str">
        <x:v>B2</x:v>
      </x:c>
      <x:c r="X10" s="4" t="str">
        <x:v>—</x:v>
      </x:c>
      <x:c r="Y10" s="4" t="str">
        <x:v>R4</x:v>
      </x:c>
      <x:c r="Z10" s="4" t="str">
        <x:v>R4 | R6 | R7</x:v>
      </x:c>
      <x:c r="AA10" s="4" t="str">
        <x:v>原条件原样继承，未独立验证split/样本量/预算有效性；执行先检查可用模态、query_time和官方评分协议</x:v>
      </x:c>
      <x:c r="AB10" s="4" t="str">
        <x:v>购物示例为计划清单减已购清单；任务规则/优先级解释用R6，真正未发生后果推演用R7。</x:v>
      </x:c>
    </x:row>
    <x:row r="11" ht="52" customHeight="1">
      <x:c r="A11" s="4" t="str">
        <x:v>src.egolifeqa.taskmaster.c02</x:v>
      </x:c>
      <x:c r="B11" s="4" t="str">
        <x:v>src.egolifeqa.taskmaster</x:v>
      </x:c>
      <x:c r="C11" s="4" t="str">
        <x:v>EgoLifeQA</x:v>
      </x:c>
      <x:c r="D11" s="4" t="str">
        <x:v>TaskMaster</x:v>
      </x:c>
      <x:c r="E11" s="4" t="str">
        <x:v>—</x:v>
      </x:c>
      <x:c r="F11" s="4" t="str">
        <x:v>original/full-3000</x:v>
      </x:c>
      <x:c r="G11" s="4" t="str">
        <x:v>video+subtitle/audio</x:v>
      </x:c>
      <x:c r="H11" s="4" t="str">
        <x:v>K选1</x:v>
      </x:c>
      <x:c r="I11" s="4" t="str">
        <x:v>4</x:v>
      </x:c>
      <x:c r="J11" s="4" t="str">
        <x:v>Accuracy</x:v>
      </x:c>
      <x:c r="K11" s="4" t="n">
        <x:v>364</x:v>
      </x:c>
      <x:c r="L11" s="4" t="str">
        <x:v>无</x:v>
      </x:c>
      <x:c r="M11" s="4" t="str">
        <x:v>unresolved</x:v>
      </x:c>
      <x:c r="N11" s="4" t="str">
        <x:v>unresolved</x:v>
      </x:c>
      <x:c r="O11" s="4" t="str">
        <x:v>unresolved</x:v>
      </x:c>
      <x:c r="P11" s="4" t="str">
        <x:v>unresolved</x:v>
      </x:c>
      <x:c r="Q11" s="4" t="str">
        <x:v>unresolved</x:v>
      </x:c>
      <x:c r="R11" s="4" t="str">
        <x:v>G37</x:v>
      </x:c>
      <x:c r="S11" s="4" t="str">
        <x:v>P20</x:v>
      </x:c>
      <x:c r="T11" s="4" t="n">
        <x:v>1</x:v>
      </x:c>
      <x:c r="U11" s="4" t="str">
        <x:v>唯一P候选</x:v>
      </x:c>
      <x:c r="V11" s="4" t="str">
        <x:v>P20</x:v>
      </x:c>
      <x:c r="W11" s="4" t="str">
        <x:v>B2</x:v>
      </x:c>
      <x:c r="X11" s="4" t="str">
        <x:v>—</x:v>
      </x:c>
      <x:c r="Y11" s="4" t="str">
        <x:v>R4</x:v>
      </x:c>
      <x:c r="Z11" s="4" t="str">
        <x:v>R4 | R6 | R7</x:v>
      </x:c>
      <x:c r="AA11" s="4" t="str">
        <x:v>原条件原样继承，未独立验证split/样本量/预算有效性；执行先检查可用模态、query_time和官方评分协议</x:v>
      </x:c>
      <x:c r="AB11" s="4" t="str">
        <x:v>购物示例为计划清单减已购清单；任务规则/优先级解释用R6，真正未发生后果推演用R7。</x:v>
      </x:c>
    </x:row>
    <x:row r="12" ht="52" customHeight="1">
      <x:c r="A12" s="4" t="str">
        <x:v>src.egoschema.long_form_video_qa.c01</x:v>
      </x:c>
      <x:c r="B12" s="4" t="str">
        <x:v>src.egoschema.long_form_video_qa</x:v>
      </x:c>
      <x:c r="C12" s="4" t="str">
        <x:v>EgoSchema</x:v>
      </x:c>
      <x:c r="D12" s="4" t="str">
        <x:v>Long-form Video QA</x:v>
      </x:c>
      <x:c r="E12" s="4" t="str">
        <x:v>—</x:v>
      </x:c>
      <x:c r="F12" s="4" t="str">
        <x:v>benchmark/full</x:v>
      </x:c>
      <x:c r="G12" s="4" t="str">
        <x:v>video_only</x:v>
      </x:c>
      <x:c r="H12" s="4" t="str">
        <x:v>K选1</x:v>
      </x:c>
      <x:c r="I12" s="4" t="str">
        <x:v>5</x:v>
      </x:c>
      <x:c r="J12" s="4" t="str">
        <x:v>Accuracy</x:v>
      </x:c>
      <x:c r="K12" s="4" t="n">
        <x:v>5031</x:v>
      </x:c>
      <x:c r="L12" s="4" t="str">
        <x:v>无</x:v>
      </x:c>
      <x:c r="M12" s="4" t="str">
        <x:v>unresolved</x:v>
      </x:c>
      <x:c r="N12" s="4" t="str">
        <x:v>unresolved</x:v>
      </x:c>
      <x:c r="O12" s="4" t="str">
        <x:v>unresolved</x:v>
      </x:c>
      <x:c r="P12" s="4" t="str">
        <x:v>unresolved</x:v>
      </x:c>
      <x:c r="Q12" s="4" t="str">
        <x:v>unresolved</x:v>
      </x:c>
      <x:c r="R12" s="4" t="str">
        <x:v>G15 | G16 | G17 | G31</x:v>
      </x:c>
      <x:c r="S12" s="4" t="str">
        <x:v>P09 | P10 | P11</x:v>
      </x:c>
      <x:c r="T12" s="4" t="n">
        <x:v>3</x:v>
      </x:c>
      <x:c r="U12" s="4" t="str">
        <x:v>待P样本拆分</x:v>
      </x:c>
      <x:c r="V12" s="4" t="str">
        <x:v>unresolved</x:v>
      </x:c>
      <x:c r="W12" s="4" t="str">
        <x:v>B1</x:v>
      </x:c>
      <x:c r="X12" s="4" t="str">
        <x:v>—</x:v>
      </x:c>
      <x:c r="Y12" s="4" t="str">
        <x:v>R5</x:v>
      </x:c>
      <x:c r="Z12" s="4" t="str">
        <x:v>R5 | R6</x:v>
      </x:c>
      <x:c r="AA12" s="4" t="str">
        <x:v>原条件原样继承，未独立验证split/样本量/预算有效性；执行先检查可用模态、query_time和官方评分协议</x:v>
      </x:c>
      <x:c r="AB12" s="4" t="str">
        <x:v>原论文行为概括例题需要跨片段覆盖；隐含动机/社交解释走R6。长视频本身不是独立稀疏检索类。</x:v>
      </x:c>
    </x:row>
    <x:row r="13" ht="52" customHeight="1">
      <x:c r="A13" s="4" t="str">
        <x:v>src.longvideobench.e3e.c01</x:v>
      </x:c>
      <x:c r="B13" s="4" t="str">
        <x:v>src.longvideobench.e3e</x:v>
      </x:c>
      <x:c r="C13" s="4" t="str">
        <x:v>LongVideoBench</x:v>
      </x:c>
      <x:c r="D13" s="4" t="str">
        <x:v>Event before/after Event</x:v>
      </x:c>
      <x:c r="E13" s="4" t="str">
        <x:v>E3E</x:v>
      </x:c>
      <x:c r="F13" s="4" t="str">
        <x:v>test/table2-leaf-counts</x:v>
      </x:c>
      <x:c r="G13" s="4" t="str">
        <x:v>video+subtitle/audio</x:v>
      </x:c>
      <x:c r="H13" s="4" t="str">
        <x:v>K选1</x:v>
      </x:c>
      <x:c r="I13" s="4" t="str">
        <x:v>4</x:v>
      </x:c>
      <x:c r="J13" s="4" t="str">
        <x:v>Accuracy</x:v>
      </x:c>
      <x:c r="K13" s="4" t="n">
        <x:v>406</x:v>
      </x:c>
      <x:c r="L13" s="4" t="str">
        <x:v>无</x:v>
      </x:c>
      <x:c r="M13" s="4" t="str">
        <x:v>unresolved</x:v>
      </x:c>
      <x:c r="N13" s="4" t="str">
        <x:v>unresolved</x:v>
      </x:c>
      <x:c r="O13" s="4" t="str">
        <x:v>unresolved</x:v>
      </x:c>
      <x:c r="P13" s="4" t="str">
        <x:v>unresolved</x:v>
      </x:c>
      <x:c r="Q13" s="4" t="str">
        <x:v>unresolved</x:v>
      </x:c>
      <x:c r="R13" s="4" t="str">
        <x:v>G10</x:v>
      </x:c>
      <x:c r="S13" s="4" t="str">
        <x:v>P06</x:v>
      </x:c>
      <x:c r="T13" s="4" t="n">
        <x:v>1</x:v>
      </x:c>
      <x:c r="U13" s="4" t="str">
        <x:v>唯一P候选</x:v>
      </x:c>
      <x:c r="V13" s="4" t="str">
        <x:v>P06</x:v>
      </x:c>
      <x:c r="W13" s="4" t="str">
        <x:v>B2</x:v>
      </x:c>
      <x:c r="X13" s="4" t="str">
        <x:v>—</x:v>
      </x:c>
      <x:c r="Y13" s="4" t="str">
        <x:v>R3</x:v>
      </x:c>
      <x:c r="Z13" s="4" t="str">
        <x:v>R1 | R3</x:v>
      </x:c>
      <x:c r="AA13" s="4" t="str">
        <x:v>原条件原样继承，未独立验证split/样本量/预算有效性；执行先检查可用模态、query_time和官方评分协议</x:v>
      </x:c>
      <x:c r="AB13" s="4" t="str">
        <x:v>锚定事件后找紧接动作；主任务是时间邻接，不是新增锚点大类。</x:v>
      </x:c>
    </x:row>
    <x:row r="14" ht="52" customHeight="1">
      <x:c r="A14" s="4" t="str">
        <x:v>src.longvideobench.t3e.c01</x:v>
      </x:c>
      <x:c r="B14" s="4" t="str">
        <x:v>src.longvideobench.t3e</x:v>
      </x:c>
      <x:c r="C14" s="4" t="str">
        <x:v>LongVideoBench</x:v>
      </x:c>
      <x:c r="D14" s="4" t="str">
        <x:v>Event before/after Text</x:v>
      </x:c>
      <x:c r="E14" s="4" t="str">
        <x:v>T3E</x:v>
      </x:c>
      <x:c r="F14" s="4" t="str">
        <x:v>test/table2-leaf-counts</x:v>
      </x:c>
      <x:c r="G14" s="4" t="str">
        <x:v>video+subtitle/audio</x:v>
      </x:c>
      <x:c r="H14" s="4" t="str">
        <x:v>K选1</x:v>
      </x:c>
      <x:c r="I14" s="4" t="str">
        <x:v>5</x:v>
      </x:c>
      <x:c r="J14" s="4" t="str">
        <x:v>Accuracy</x:v>
      </x:c>
      <x:c r="K14" s="4" t="n">
        <x:v>401</x:v>
      </x:c>
      <x:c r="L14" s="4" t="str">
        <x:v>无</x:v>
      </x:c>
      <x:c r="M14" s="4" t="str">
        <x:v>unresolved</x:v>
      </x:c>
      <x:c r="N14" s="4" t="str">
        <x:v>unresolved</x:v>
      </x:c>
      <x:c r="O14" s="4" t="str">
        <x:v>unresolved</x:v>
      </x:c>
      <x:c r="P14" s="4" t="str">
        <x:v>unresolved</x:v>
      </x:c>
      <x:c r="Q14" s="4" t="str">
        <x:v>unresolved</x:v>
      </x:c>
      <x:c r="R14" s="4" t="str">
        <x:v>G14</x:v>
      </x:c>
      <x:c r="S14" s="4" t="str">
        <x:v>P06</x:v>
      </x:c>
      <x:c r="T14" s="4" t="n">
        <x:v>1</x:v>
      </x:c>
      <x:c r="U14" s="4" t="str">
        <x:v>唯一P候选</x:v>
      </x:c>
      <x:c r="V14" s="4" t="str">
        <x:v>P06</x:v>
      </x:c>
      <x:c r="W14" s="4" t="str">
        <x:v>B2</x:v>
      </x:c>
      <x:c r="X14" s="4" t="str">
        <x:v>—</x:v>
      </x:c>
      <x:c r="Y14" s="4" t="str">
        <x:v>R3</x:v>
      </x:c>
      <x:c r="Z14" s="4" t="str">
        <x:v>R1 | R3</x:v>
      </x:c>
      <x:c r="AA14" s="4" t="str">
        <x:v>原条件原样继承，未独立验证split/样本量/预算有效性；执行先检查可用模态、query_time和官方评分协议</x:v>
      </x:c>
      <x:c r="AB14" s="4" t="str">
        <x:v>字幕/说话事件为锚点，检索其之前事件，保留事件边界。</x:v>
      </x:c>
    </x:row>
    <x:row r="15" ht="52" customHeight="1">
      <x:c r="A15" s="4" t="str">
        <x:v>src.longvideobench.e2o.c01</x:v>
      </x:c>
      <x:c r="B15" s="4" t="str">
        <x:v>src.longvideobench.e2o</x:v>
      </x:c>
      <x:c r="C15" s="4" t="str">
        <x:v>LongVideoBench</x:v>
      </x:c>
      <x:c r="D15" s="4" t="str">
        <x:v>Event-referred Object</x:v>
      </x:c>
      <x:c r="E15" s="4" t="str">
        <x:v>E2O</x:v>
      </x:c>
      <x:c r="F15" s="4" t="str">
        <x:v>test/table2-leaf-counts</x:v>
      </x:c>
      <x:c r="G15" s="4" t="str">
        <x:v>video+subtitle/audio</x:v>
      </x:c>
      <x:c r="H15" s="4" t="str">
        <x:v>K选1</x:v>
      </x:c>
      <x:c r="I15" s="4" t="str">
        <x:v>5</x:v>
      </x:c>
      <x:c r="J15" s="4" t="str">
        <x:v>Accuracy</x:v>
      </x:c>
      <x:c r="K15" s="4" t="n">
        <x:v>393</x:v>
      </x:c>
      <x:c r="L15" s="4" t="str">
        <x:v>无</x:v>
      </x:c>
      <x:c r="M15" s="4" t="str">
        <x:v>unresolved</x:v>
      </x:c>
      <x:c r="N15" s="4" t="str">
        <x:v>unresolved</x:v>
      </x:c>
      <x:c r="O15" s="4" t="str">
        <x:v>unresolved</x:v>
      </x:c>
      <x:c r="P15" s="4" t="str">
        <x:v>unresolved</x:v>
      </x:c>
      <x:c r="Q15" s="4" t="str">
        <x:v>unresolved</x:v>
      </x:c>
      <x:c r="R15" s="4" t="str">
        <x:v>G13</x:v>
      </x:c>
      <x:c r="S15" s="4" t="str">
        <x:v>P06</x:v>
      </x:c>
      <x:c r="T15" s="4" t="n">
        <x:v>1</x:v>
      </x:c>
      <x:c r="U15" s="4" t="str">
        <x:v>唯一P候选</x:v>
      </x:c>
      <x:c r="V15" s="4" t="str">
        <x:v>P06</x:v>
      </x:c>
      <x:c r="W15" s="4" t="str">
        <x:v>B2</x:v>
      </x:c>
      <x:c r="X15" s="4" t="str">
        <x:v>—</x:v>
      </x:c>
      <x:c r="Y15" s="4" t="str">
        <x:v>R1</x:v>
      </x:c>
      <x:c r="Z15" s="4" t="str">
        <x:v>R1</x:v>
      </x:c>
      <x:c r="AA15" s="4" t="str">
        <x:v>原条件原样继承，未独立验证split/样本量/预算有效性；执行先检查可用模态、query_time和官方评分协议</x:v>
      </x:c>
      <x:c r="AB15" s="4" t="str">
        <x:v>事件描述定位后认人，不需独立锚点pipeline。</x:v>
      </x:c>
    </x:row>
    <x:row r="16" ht="52" customHeight="1">
      <x:c r="A16" s="4" t="str">
        <x:v>src.longvideobench.o3o.c01</x:v>
      </x:c>
      <x:c r="B16" s="4" t="str">
        <x:v>src.longvideobench.o3o</x:v>
      </x:c>
      <x:c r="C16" s="4" t="str">
        <x:v>LongVideoBench</x:v>
      </x:c>
      <x:c r="D16" s="4" t="str">
        <x:v>Object before/after Object</x:v>
      </x:c>
      <x:c r="E16" s="4" t="str">
        <x:v>O3O</x:v>
      </x:c>
      <x:c r="F16" s="4" t="str">
        <x:v>test/table2-leaf-counts</x:v>
      </x:c>
      <x:c r="G16" s="4" t="str">
        <x:v>video+subtitle/audio</x:v>
      </x:c>
      <x:c r="H16" s="4" t="str">
        <x:v>K选1</x:v>
      </x:c>
      <x:c r="I16" s="4" t="str">
        <x:v>5</x:v>
      </x:c>
      <x:c r="J16" s="4" t="str">
        <x:v>Accuracy</x:v>
      </x:c>
      <x:c r="K16" s="4" t="n">
        <x:v>394</x:v>
      </x:c>
      <x:c r="L16" s="4" t="str">
        <x:v>无</x:v>
      </x:c>
      <x:c r="M16" s="4" t="str">
        <x:v>unresolved</x:v>
      </x:c>
      <x:c r="N16" s="4" t="str">
        <x:v>unresolved</x:v>
      </x:c>
      <x:c r="O16" s="4" t="str">
        <x:v>unresolved</x:v>
      </x:c>
      <x:c r="P16" s="4" t="str">
        <x:v>unresolved</x:v>
      </x:c>
      <x:c r="Q16" s="4" t="str">
        <x:v>unresolved</x:v>
      </x:c>
      <x:c r="R16" s="4" t="str">
        <x:v>G10 | G13</x:v>
      </x:c>
      <x:c r="S16" s="4" t="str">
        <x:v>P06</x:v>
      </x:c>
      <x:c r="T16" s="4" t="n">
        <x:v>1</x:v>
      </x:c>
      <x:c r="U16" s="4" t="str">
        <x:v>唯一P候选</x:v>
      </x:c>
      <x:c r="V16" s="4" t="str">
        <x:v>P06</x:v>
      </x:c>
      <x:c r="W16" s="4" t="str">
        <x:v>B2</x:v>
      </x:c>
      <x:c r="X16" s="4" t="str">
        <x:v>—</x:v>
      </x:c>
      <x:c r="Y16" s="4" t="str">
        <x:v>R3</x:v>
      </x:c>
      <x:c r="Z16" s="4" t="str">
        <x:v>R1 | R3</x:v>
      </x:c>
      <x:c r="AA16" s="4" t="str">
        <x:v>原条件原样继承，未独立验证split/样本量/预算有效性；执行先检查可用模态、query_time和官方评分协议</x:v>
      </x:c>
      <x:c r="AB16" s="4" t="str">
        <x:v>first after要求按时间选首个概念；内容定位与时序选择分开。</x:v>
      </x:c>
    </x:row>
    <x:row r="17" ht="52" customHeight="1">
      <x:c r="A17" s="4" t="str">
        <x:v>src.longvideobench.t3o.c01</x:v>
      </x:c>
      <x:c r="B17" s="4" t="str">
        <x:v>src.longvideobench.t3o</x:v>
      </x:c>
      <x:c r="C17" s="4" t="str">
        <x:v>LongVideoBench</x:v>
      </x:c>
      <x:c r="D17" s="4" t="str">
        <x:v>Object before/after Text</x:v>
      </x:c>
      <x:c r="E17" s="4" t="str">
        <x:v>T3O</x:v>
      </x:c>
      <x:c r="F17" s="4" t="str">
        <x:v>test/table2-leaf-counts</x:v>
      </x:c>
      <x:c r="G17" s="4" t="str">
        <x:v>video+subtitle/audio</x:v>
      </x:c>
      <x:c r="H17" s="4" t="str">
        <x:v>K选1</x:v>
      </x:c>
      <x:c r="I17" s="4" t="str">
        <x:v>4</x:v>
      </x:c>
      <x:c r="J17" s="4" t="str">
        <x:v>Accuracy</x:v>
      </x:c>
      <x:c r="K17" s="4" t="n">
        <x:v>391</x:v>
      </x:c>
      <x:c r="L17" s="4" t="str">
        <x:v>无</x:v>
      </x:c>
      <x:c r="M17" s="4" t="str">
        <x:v>unresolved</x:v>
      </x:c>
      <x:c r="N17" s="4" t="str">
        <x:v>unresolved</x:v>
      </x:c>
      <x:c r="O17" s="4" t="str">
        <x:v>unresolved</x:v>
      </x:c>
      <x:c r="P17" s="4" t="str">
        <x:v>unresolved</x:v>
      </x:c>
      <x:c r="Q17" s="4" t="str">
        <x:v>unresolved</x:v>
      </x:c>
      <x:c r="R17" s="4" t="str">
        <x:v>G14</x:v>
      </x:c>
      <x:c r="S17" s="4" t="str">
        <x:v>P06</x:v>
      </x:c>
      <x:c r="T17" s="4" t="n">
        <x:v>1</x:v>
      </x:c>
      <x:c r="U17" s="4" t="str">
        <x:v>唯一P候选</x:v>
      </x:c>
      <x:c r="V17" s="4" t="str">
        <x:v>P06</x:v>
      </x:c>
      <x:c r="W17" s="4" t="str">
        <x:v>B2</x:v>
      </x:c>
      <x:c r="X17" s="4" t="str">
        <x:v>—</x:v>
      </x:c>
      <x:c r="Y17" s="4" t="str">
        <x:v>R3</x:v>
      </x:c>
      <x:c r="Z17" s="4" t="str">
        <x:v>R1 | R3</x:v>
      </x:c>
      <x:c r="AA17" s="4" t="str">
        <x:v>原条件原样继承，未独立验证split/样本量/预算有效性；执行先检查可用模态、query_time和官方评分协议</x:v>
      </x:c>
      <x:c r="AB17" s="4" t="str">
        <x:v>字幕时间后出现的人物需要时间关系选择。</x:v>
      </x:c>
    </x:row>
    <x:row r="18" ht="52" customHeight="1">
      <x:c r="A18" s="4" t="str">
        <x:v>src.longvideobench.o2e.c01</x:v>
      </x:c>
      <x:c r="B18" s="4" t="str">
        <x:v>src.longvideobench.o2e</x:v>
      </x:c>
      <x:c r="C18" s="4" t="str">
        <x:v>LongVideoBench</x:v>
      </x:c>
      <x:c r="D18" s="4" t="str">
        <x:v>Object-referred Event</x:v>
      </x:c>
      <x:c r="E18" s="4" t="str">
        <x:v>O2E</x:v>
      </x:c>
      <x:c r="F18" s="4" t="str">
        <x:v>test/table2-leaf-counts</x:v>
      </x:c>
      <x:c r="G18" s="4" t="str">
        <x:v>video+subtitle/audio</x:v>
      </x:c>
      <x:c r="H18" s="4" t="str">
        <x:v>K选1</x:v>
      </x:c>
      <x:c r="I18" s="4" t="str">
        <x:v>5</x:v>
      </x:c>
      <x:c r="J18" s="4" t="str">
        <x:v>Accuracy</x:v>
      </x:c>
      <x:c r="K18" s="4" t="n">
        <x:v>401</x:v>
      </x:c>
      <x:c r="L18" s="4" t="str">
        <x:v>无</x:v>
      </x:c>
      <x:c r="M18" s="4" t="str">
        <x:v>unresolved</x:v>
      </x:c>
      <x:c r="N18" s="4" t="str">
        <x:v>unresolved</x:v>
      </x:c>
      <x:c r="O18" s="4" t="str">
        <x:v>unresolved</x:v>
      </x:c>
      <x:c r="P18" s="4" t="str">
        <x:v>unresolved</x:v>
      </x:c>
      <x:c r="Q18" s="4" t="str">
        <x:v>unresolved</x:v>
      </x:c>
      <x:c r="R18" s="4" t="str">
        <x:v>G13</x:v>
      </x:c>
      <x:c r="S18" s="4" t="str">
        <x:v>P06</x:v>
      </x:c>
      <x:c r="T18" s="4" t="n">
        <x:v>1</x:v>
      </x:c>
      <x:c r="U18" s="4" t="str">
        <x:v>唯一P候选</x:v>
      </x:c>
      <x:c r="V18" s="4" t="str">
        <x:v>P06</x:v>
      </x:c>
      <x:c r="W18" s="4" t="str">
        <x:v>B2</x:v>
      </x:c>
      <x:c r="X18" s="4" t="str">
        <x:v>—</x:v>
      </x:c>
      <x:c r="Y18" s="4" t="str">
        <x:v>R1</x:v>
      </x:c>
      <x:c r="Z18" s="4" t="str">
        <x:v>R1</x:v>
      </x:c>
      <x:c r="AA18" s="4" t="str">
        <x:v>原条件原样继承，未独立验证split/样本量/预算有效性；执行先检查可用模态、query_time和官方评分协议</x:v>
      </x:c>
      <x:c r="AB18" s="4" t="str">
        <x:v>由物体/场景线索定位，然后读取该时刻事件。</x:v>
      </x:c>
    </x:row>
    <x:row r="19" ht="52" customHeight="1">
      <x:c r="A19" s="4" t="str">
        <x:v>src.longvideobench.s2e.c01</x:v>
      </x:c>
      <x:c r="B19" s="4" t="str">
        <x:v>src.longvideobench.s2e</x:v>
      </x:c>
      <x:c r="C19" s="4" t="str">
        <x:v>LongVideoBench</x:v>
      </x:c>
      <x:c r="D19" s="4" t="str">
        <x:v>Scene-referred Event</x:v>
      </x:c>
      <x:c r="E19" s="4" t="str">
        <x:v>S2E</x:v>
      </x:c>
      <x:c r="F19" s="4" t="str">
        <x:v>test/table2-leaf-counts</x:v>
      </x:c>
      <x:c r="G19" s="4" t="str">
        <x:v>video+subtitle/audio</x:v>
      </x:c>
      <x:c r="H19" s="4" t="str">
        <x:v>K选1</x:v>
      </x:c>
      <x:c r="I19" s="4" t="str">
        <x:v>5</x:v>
      </x:c>
      <x:c r="J19" s="4" t="str">
        <x:v>Accuracy</x:v>
      </x:c>
      <x:c r="K19" s="4" t="n">
        <x:v>410</x:v>
      </x:c>
      <x:c r="L19" s="4" t="str">
        <x:v>无</x:v>
      </x:c>
      <x:c r="M19" s="4" t="str">
        <x:v>unresolved</x:v>
      </x:c>
      <x:c r="N19" s="4" t="str">
        <x:v>unresolved</x:v>
      </x:c>
      <x:c r="O19" s="4" t="str">
        <x:v>unresolved</x:v>
      </x:c>
      <x:c r="P19" s="4" t="str">
        <x:v>unresolved</x:v>
      </x:c>
      <x:c r="Q19" s="4" t="str">
        <x:v>unresolved</x:v>
      </x:c>
      <x:c r="R19" s="4" t="str">
        <x:v>G13</x:v>
      </x:c>
      <x:c r="S19" s="4" t="str">
        <x:v>P06</x:v>
      </x:c>
      <x:c r="T19" s="4" t="n">
        <x:v>1</x:v>
      </x:c>
      <x:c r="U19" s="4" t="str">
        <x:v>唯一P候选</x:v>
      </x:c>
      <x:c r="V19" s="4" t="str">
        <x:v>P06</x:v>
      </x:c>
      <x:c r="W19" s="4" t="str">
        <x:v>B2</x:v>
      </x:c>
      <x:c r="X19" s="4" t="str">
        <x:v>—</x:v>
      </x:c>
      <x:c r="Y19" s="4" t="str">
        <x:v>R1</x:v>
      </x:c>
      <x:c r="Z19" s="4" t="str">
        <x:v>R1</x:v>
      </x:c>
      <x:c r="AA19" s="4" t="str">
        <x:v>原条件原样继承，未独立验证split/样本量/预算有效性；执行先检查可用模态、query_time和官方评分协议</x:v>
      </x:c>
      <x:c r="AB19" s="4" t="str">
        <x:v>场景/OCR作为检索条件；目标是一个可观察动作。</x:v>
      </x:c>
    </x:row>
    <x:row r="20" ht="52" customHeight="1">
      <x:c r="A20" s="4" t="str">
        <x:v>src.longvideobench.s2a.c01</x:v>
      </x:c>
      <x:c r="B20" s="4" t="str">
        <x:v>src.longvideobench.s2a</x:v>
      </x:c>
      <x:c r="C20" s="4" t="str">
        <x:v>LongVideoBench</x:v>
      </x:c>
      <x:c r="D20" s="4" t="str">
        <x:v>Scene-referred Object Attribute</x:v>
      </x:c>
      <x:c r="E20" s="4" t="str">
        <x:v>S2A</x:v>
      </x:c>
      <x:c r="F20" s="4" t="str">
        <x:v>test/table2-leaf-counts</x:v>
      </x:c>
      <x:c r="G20" s="4" t="str">
        <x:v>video+subtitle/audio</x:v>
      </x:c>
      <x:c r="H20" s="4" t="str">
        <x:v>K选1</x:v>
      </x:c>
      <x:c r="I20" s="4" t="str">
        <x:v>5</x:v>
      </x:c>
      <x:c r="J20" s="4" t="str">
        <x:v>Accuracy</x:v>
      </x:c>
      <x:c r="K20" s="4" t="n">
        <x:v>403</x:v>
      </x:c>
      <x:c r="L20" s="4" t="str">
        <x:v>无</x:v>
      </x:c>
      <x:c r="M20" s="4" t="str">
        <x:v>unresolved</x:v>
      </x:c>
      <x:c r="N20" s="4" t="str">
        <x:v>unresolved</x:v>
      </x:c>
      <x:c r="O20" s="4" t="str">
        <x:v>unresolved</x:v>
      </x:c>
      <x:c r="P20" s="4" t="str">
        <x:v>unresolved</x:v>
      </x:c>
      <x:c r="Q20" s="4" t="str">
        <x:v>unresolved</x:v>
      </x:c>
      <x:c r="R20" s="4" t="str">
        <x:v>G13</x:v>
      </x:c>
      <x:c r="S20" s="4" t="str">
        <x:v>P06</x:v>
      </x:c>
      <x:c r="T20" s="4" t="n">
        <x:v>1</x:v>
      </x:c>
      <x:c r="U20" s="4" t="str">
        <x:v>唯一P候选</x:v>
      </x:c>
      <x:c r="V20" s="4" t="str">
        <x:v>P06</x:v>
      </x:c>
      <x:c r="W20" s="4" t="str">
        <x:v>B2</x:v>
      </x:c>
      <x:c r="X20" s="4" t="str">
        <x:v>—</x:v>
      </x:c>
      <x:c r="Y20" s="4" t="str">
        <x:v>R1</x:v>
      </x:c>
      <x:c r="Z20" s="4" t="str">
        <x:v>R1</x:v>
      </x:c>
      <x:c r="AA20" s="4" t="str">
        <x:v>原条件原样继承，未独立验证split/样本量/预算有效性；执行先检查可用模态、query_time和官方评分协议</x:v>
      </x:c>
      <x:c r="AB20" s="4" t="str">
        <x:v>在指定场景读取属性；不是空间计算。</x:v>
      </x:c>
    </x:row>
    <x:row r="21" ht="52" customHeight="1">
      <x:c r="A21" s="4" t="str">
        <x:v>src.longvideobench.saa.c01</x:v>
      </x:c>
      <x:c r="B21" s="4" t="str">
        <x:v>src.longvideobench.saa</x:v>
      </x:c>
      <x:c r="C21" s="4" t="str">
        <x:v>LongVideoBench</x:v>
      </x:c>
      <x:c r="D21" s="4" t="str">
        <x:v>Scene-referred Object Attribute Change</x:v>
      </x:c>
      <x:c r="E21" s="4" t="str">
        <x:v>SAA</x:v>
      </x:c>
      <x:c r="F21" s="4" t="str">
        <x:v>test/table2-leaf-counts</x:v>
      </x:c>
      <x:c r="G21" s="4" t="str">
        <x:v>video+subtitle/audio</x:v>
      </x:c>
      <x:c r="H21" s="4" t="str">
        <x:v>K选1</x:v>
      </x:c>
      <x:c r="I21" s="4" t="str">
        <x:v>4</x:v>
      </x:c>
      <x:c r="J21" s="4" t="str">
        <x:v>Accuracy</x:v>
      </x:c>
      <x:c r="K21" s="4" t="n">
        <x:v>375</x:v>
      </x:c>
      <x:c r="L21" s="4" t="str">
        <x:v>无</x:v>
      </x:c>
      <x:c r="M21" s="4" t="str">
        <x:v>unresolved</x:v>
      </x:c>
      <x:c r="N21" s="4" t="str">
        <x:v>unresolved</x:v>
      </x:c>
      <x:c r="O21" s="4" t="str">
        <x:v>unresolved</x:v>
      </x:c>
      <x:c r="P21" s="4" t="str">
        <x:v>unresolved</x:v>
      </x:c>
      <x:c r="Q21" s="4" t="str">
        <x:v>unresolved</x:v>
      </x:c>
      <x:c r="R21" s="4" t="str">
        <x:v>G04</x:v>
      </x:c>
      <x:c r="S21" s="4" t="str">
        <x:v>P06</x:v>
      </x:c>
      <x:c r="T21" s="4" t="n">
        <x:v>1</x:v>
      </x:c>
      <x:c r="U21" s="4" t="str">
        <x:v>唯一P候选</x:v>
      </x:c>
      <x:c r="V21" s="4" t="str">
        <x:v>P06</x:v>
      </x:c>
      <x:c r="W21" s="4" t="str">
        <x:v>B2</x:v>
      </x:c>
      <x:c r="X21" s="4" t="str">
        <x:v>—</x:v>
      </x:c>
      <x:c r="Y21" s="4" t="str">
        <x:v>R2</x:v>
      </x:c>
      <x:c r="Z21" s="4" t="str">
        <x:v>R2</x:v>
      </x:c>
      <x:c r="AA21" s="4" t="str">
        <x:v>原条件原样继承，未独立验证split/样本量/预算有效性；执行先检查可用模态、query_time和官方评分协议</x:v>
      </x:c>
      <x:c r="AB21" s="4" t="str">
        <x:v>同一对象跨场景属性变化：可以只比两个证据窗口，不强制逐帧密集追踪。</x:v>
      </x:c>
    </x:row>
    <x:row r="22" ht="52" customHeight="1">
      <x:c r="A22" s="4" t="str">
        <x:v>src.longvideobench.s2o.c01</x:v>
      </x:c>
      <x:c r="B22" s="4" t="str">
        <x:v>src.longvideobench.s2o</x:v>
      </x:c>
      <x:c r="C22" s="4" t="str">
        <x:v>LongVideoBench</x:v>
      </x:c>
      <x:c r="D22" s="4" t="str">
        <x:v>Scene-referred Object Existence</x:v>
      </x:c>
      <x:c r="E22" s="4" t="str">
        <x:v>S2O</x:v>
      </x:c>
      <x:c r="F22" s="4" t="str">
        <x:v>test/table2-leaf-counts</x:v>
      </x:c>
      <x:c r="G22" s="4" t="str">
        <x:v>video+subtitle/audio</x:v>
      </x:c>
      <x:c r="H22" s="4" t="str">
        <x:v>K选1</x:v>
      </x:c>
      <x:c r="I22" s="4" t="str">
        <x:v>4</x:v>
      </x:c>
      <x:c r="J22" s="4" t="str">
        <x:v>Accuracy</x:v>
      </x:c>
      <x:c r="K22" s="4" t="n">
        <x:v>403</x:v>
      </x:c>
      <x:c r="L22" s="4" t="str">
        <x:v>无</x:v>
      </x:c>
      <x:c r="M22" s="4" t="str">
        <x:v>unresolved</x:v>
      </x:c>
      <x:c r="N22" s="4" t="str">
        <x:v>unresolved</x:v>
      </x:c>
      <x:c r="O22" s="4" t="str">
        <x:v>unresolved</x:v>
      </x:c>
      <x:c r="P22" s="4" t="str">
        <x:v>unresolved</x:v>
      </x:c>
      <x:c r="Q22" s="4" t="str">
        <x:v>unresolved</x:v>
      </x:c>
      <x:c r="R22" s="4" t="str">
        <x:v>G06</x:v>
      </x:c>
      <x:c r="S22" s="4" t="str">
        <x:v>P08</x:v>
      </x:c>
      <x:c r="T22" s="4" t="n">
        <x:v>1</x:v>
      </x:c>
      <x:c r="U22" s="4" t="str">
        <x:v>唯一P候选</x:v>
      </x:c>
      <x:c r="V22" s="4" t="str">
        <x:v>P08</x:v>
      </x:c>
      <x:c r="W22" s="4" t="str">
        <x:v>B2</x:v>
      </x:c>
      <x:c r="X22" s="4" t="str">
        <x:v>—</x:v>
      </x:c>
      <x:c r="Y22" s="4" t="str">
        <x:v>R4</x:v>
      </x:c>
      <x:c r="Z22" s="4" t="str">
        <x:v>R4</x:v>
      </x:c>
      <x:c r="AA22" s="4" t="str">
        <x:v>原条件原样继承，未独立验证split/样本量/预算有效性；执行先检查可用模态、query_time和官方评分协议</x:v>
      </x:c>
      <x:c r="AB22" s="4" t="str">
        <x:v>did not appear的覆盖范围是题目限定的红桌场景；不是无条件扫描全视频。</x:v>
      </x:c>
    </x:row>
    <x:row r="23" ht="52" customHeight="1">
      <x:c r="A23" s="4" t="str">
        <x:v>src.longvideobench.sos.c01</x:v>
      </x:c>
      <x:c r="B23" s="4" t="str">
        <x:v>src.longvideobench.sos</x:v>
      </x:c>
      <x:c r="C23" s="4" t="str">
        <x:v>LongVideoBench</x:v>
      </x:c>
      <x:c r="D23" s="4" t="str">
        <x:v>Scene-referred Object Tracking</x:v>
      </x:c>
      <x:c r="E23" s="4" t="str">
        <x:v>SOS</x:v>
      </x:c>
      <x:c r="F23" s="4" t="str">
        <x:v>test/table2-leaf-counts</x:v>
      </x:c>
      <x:c r="G23" s="4" t="str">
        <x:v>video+subtitle/audio</x:v>
      </x:c>
      <x:c r="H23" s="4" t="str">
        <x:v>K选1</x:v>
      </x:c>
      <x:c r="I23" s="4" t="str">
        <x:v>5</x:v>
      </x:c>
      <x:c r="J23" s="4" t="str">
        <x:v>Accuracy</x:v>
      </x:c>
      <x:c r="K23" s="4" t="n">
        <x:v>381</x:v>
      </x:c>
      <x:c r="L23" s="4" t="str">
        <x:v>无</x:v>
      </x:c>
      <x:c r="M23" s="4" t="str">
        <x:v>unresolved</x:v>
      </x:c>
      <x:c r="N23" s="4" t="str">
        <x:v>unresolved</x:v>
      </x:c>
      <x:c r="O23" s="4" t="str">
        <x:v>unresolved</x:v>
      </x:c>
      <x:c r="P23" s="4" t="str">
        <x:v>unresolved</x:v>
      </x:c>
      <x:c r="Q23" s="4" t="str">
        <x:v>unresolved</x:v>
      </x:c>
      <x:c r="R23" s="4" t="str">
        <x:v>G05</x:v>
      </x:c>
      <x:c r="S23" s="4" t="str">
        <x:v>P02</x:v>
      </x:c>
      <x:c r="T23" s="4" t="n">
        <x:v>1</x:v>
      </x:c>
      <x:c r="U23" s="4" t="str">
        <x:v>唯一P候选</x:v>
      </x:c>
      <x:c r="V23" s="4" t="str">
        <x:v>P02</x:v>
      </x:c>
      <x:c r="W23" s="4" t="str">
        <x:v>B2</x:v>
      </x:c>
      <x:c r="X23" s="4" t="str">
        <x:v>—</x:v>
      </x:c>
      <x:c r="Y23" s="4" t="str">
        <x:v>R1</x:v>
      </x:c>
      <x:c r="Z23" s="4" t="str">
        <x:v>R1 | R2</x:v>
      </x:c>
      <x:c r="AA23" s="4" t="str">
        <x:v>原条件原样继承，未独立验证split/样本量/预算有效性；执行先检查可用模态、query_time和官方评分协议</x:v>
      </x:c>
      <x:c r="AB23" s="4" t="str">
        <x:v>示例跨场景重识别同一飞机；离散候选片段检索即可，遮挡连续身份传播才需要R2。</x:v>
      </x:c>
    </x:row>
    <x:row r="24" ht="52" customHeight="1">
      <x:c r="A24" s="4" t="str">
        <x:v>src.longvideobench.sss.c01</x:v>
      </x:c>
      <x:c r="B24" s="4" t="str">
        <x:v>src.longvideobench.sss</x:v>
      </x:c>
      <x:c r="C24" s="4" t="str">
        <x:v>LongVideoBench</x:v>
      </x:c>
      <x:c r="D24" s="4" t="str">
        <x:v>Sequence of Scenes</x:v>
      </x:c>
      <x:c r="E24" s="4" t="str">
        <x:v>SSS</x:v>
      </x:c>
      <x:c r="F24" s="4" t="str">
        <x:v>test/table2-leaf-counts</x:v>
      </x:c>
      <x:c r="G24" s="4" t="str">
        <x:v>video+subtitle/audio</x:v>
      </x:c>
      <x:c r="H24" s="4" t="str">
        <x:v>K选1</x:v>
      </x:c>
      <x:c r="I24" s="4" t="str">
        <x:v>4</x:v>
      </x:c>
      <x:c r="J24" s="4" t="str">
        <x:v>Accuracy</x:v>
      </x:c>
      <x:c r="K24" s="4" t="n">
        <x:v>398</x:v>
      </x:c>
      <x:c r="L24" s="4" t="str">
        <x:v>无</x:v>
      </x:c>
      <x:c r="M24" s="4" t="str">
        <x:v>unresolved</x:v>
      </x:c>
      <x:c r="N24" s="4" t="str">
        <x:v>unresolved</x:v>
      </x:c>
      <x:c r="O24" s="4" t="str">
        <x:v>unresolved</x:v>
      </x:c>
      <x:c r="P24" s="4" t="str">
        <x:v>unresolved</x:v>
      </x:c>
      <x:c r="Q24" s="4" t="str">
        <x:v>unresolved</x:v>
      </x:c>
      <x:c r="R24" s="4" t="str">
        <x:v>G11</x:v>
      </x:c>
      <x:c r="S24" s="4" t="str">
        <x:v>P07</x:v>
      </x:c>
      <x:c r="T24" s="4" t="n">
        <x:v>1</x:v>
      </x:c>
      <x:c r="U24" s="4" t="str">
        <x:v>唯一P候选</x:v>
      </x:c>
      <x:c r="V24" s="4" t="str">
        <x:v>P07</x:v>
      </x:c>
      <x:c r="W24" s="4" t="str">
        <x:v>B2</x:v>
      </x:c>
      <x:c r="X24" s="4" t="str">
        <x:v>—</x:v>
      </x:c>
      <x:c r="Y24" s="4" t="str">
        <x:v>R3</x:v>
      </x:c>
      <x:c r="Z24" s="4" t="str">
        <x:v>R1 | R3</x:v>
      </x:c>
      <x:c r="AA24" s="4" t="str">
        <x:v>原条件原样继承，未独立验证split/样本量/预算有效性；执行先检查可用模态、query_time和官方评分协议</x:v>
      </x:c>
      <x:c r="AB24" s="4" t="str">
        <x:v>为场景建立时间索引，再比较顺序。</x:v>
      </x:c>
    </x:row>
    <x:row r="25" ht="52" customHeight="1">
      <x:c r="A25" s="4" t="str">
        <x:v>src.longvideobench.t2e.c01</x:v>
      </x:c>
      <x:c r="B25" s="4" t="str">
        <x:v>src.longvideobench.t2e</x:v>
      </x:c>
      <x:c r="C25" s="4" t="str">
        <x:v>LongVideoBench</x:v>
      </x:c>
      <x:c r="D25" s="4" t="str">
        <x:v>Text-referred Event</x:v>
      </x:c>
      <x:c r="E25" s="4" t="str">
        <x:v>T2E</x:v>
      </x:c>
      <x:c r="F25" s="4" t="str">
        <x:v>test/table2-leaf-counts</x:v>
      </x:c>
      <x:c r="G25" s="4" t="str">
        <x:v>video+subtitle/audio</x:v>
      </x:c>
      <x:c r="H25" s="4" t="str">
        <x:v>K选1</x:v>
      </x:c>
      <x:c r="I25" s="4" t="str">
        <x:v>5</x:v>
      </x:c>
      <x:c r="J25" s="4" t="str">
        <x:v>Accuracy</x:v>
      </x:c>
      <x:c r="K25" s="4" t="n">
        <x:v>398</x:v>
      </x:c>
      <x:c r="L25" s="4" t="str">
        <x:v>无</x:v>
      </x:c>
      <x:c r="M25" s="4" t="str">
        <x:v>unresolved</x:v>
      </x:c>
      <x:c r="N25" s="4" t="str">
        <x:v>unresolved</x:v>
      </x:c>
      <x:c r="O25" s="4" t="str">
        <x:v>unresolved</x:v>
      </x:c>
      <x:c r="P25" s="4" t="str">
        <x:v>unresolved</x:v>
      </x:c>
      <x:c r="Q25" s="4" t="str">
        <x:v>unresolved</x:v>
      </x:c>
      <x:c r="R25" s="4" t="str">
        <x:v>G14</x:v>
      </x:c>
      <x:c r="S25" s="4" t="str">
        <x:v>P06</x:v>
      </x:c>
      <x:c r="T25" s="4" t="n">
        <x:v>1</x:v>
      </x:c>
      <x:c r="U25" s="4" t="str">
        <x:v>唯一P候选</x:v>
      </x:c>
      <x:c r="V25" s="4" t="str">
        <x:v>P06</x:v>
      </x:c>
      <x:c r="W25" s="4" t="str">
        <x:v>B2</x:v>
      </x:c>
      <x:c r="X25" s="4" t="str">
        <x:v>—</x:v>
      </x:c>
      <x:c r="Y25" s="4" t="str">
        <x:v>R1</x:v>
      </x:c>
      <x:c r="Z25" s="4" t="str">
        <x:v>R1</x:v>
      </x:c>
      <x:c r="AA25" s="4" t="str">
        <x:v>原条件原样继承，未独立验证split/样本量/预算有效性；执行先检查可用模态、query_time和官方评分协议</x:v>
      </x:c>
      <x:c r="AB25" s="4" t="str">
        <x:v>字幕定位后查看同步事件。</x:v>
      </x:c>
    </x:row>
    <x:row r="26" ht="52" customHeight="1">
      <x:c r="A26" s="4" t="str">
        <x:v>src.longvideobench.t2o.c01</x:v>
      </x:c>
      <x:c r="B26" s="4" t="str">
        <x:v>src.longvideobench.t2o</x:v>
      </x:c>
      <x:c r="C26" s="4" t="str">
        <x:v>LongVideoBench</x:v>
      </x:c>
      <x:c r="D26" s="4" t="str">
        <x:v>Text-referred Object</x:v>
      </x:c>
      <x:c r="E26" s="4" t="str">
        <x:v>T2O</x:v>
      </x:c>
      <x:c r="F26" s="4" t="str">
        <x:v>test/table2-leaf-counts</x:v>
      </x:c>
      <x:c r="G26" s="4" t="str">
        <x:v>video+subtitle/audio</x:v>
      </x:c>
      <x:c r="H26" s="4" t="str">
        <x:v>K选1</x:v>
      </x:c>
      <x:c r="I26" s="4" t="str">
        <x:v>5</x:v>
      </x:c>
      <x:c r="J26" s="4" t="str">
        <x:v>Accuracy</x:v>
      </x:c>
      <x:c r="K26" s="4" t="n">
        <x:v>387</x:v>
      </x:c>
      <x:c r="L26" s="4" t="str">
        <x:v>无</x:v>
      </x:c>
      <x:c r="M26" s="4" t="str">
        <x:v>unresolved</x:v>
      </x:c>
      <x:c r="N26" s="4" t="str">
        <x:v>unresolved</x:v>
      </x:c>
      <x:c r="O26" s="4" t="str">
        <x:v>unresolved</x:v>
      </x:c>
      <x:c r="P26" s="4" t="str">
        <x:v>unresolved</x:v>
      </x:c>
      <x:c r="Q26" s="4" t="str">
        <x:v>unresolved</x:v>
      </x:c>
      <x:c r="R26" s="4" t="str">
        <x:v>G14</x:v>
      </x:c>
      <x:c r="S26" s="4" t="str">
        <x:v>P06</x:v>
      </x:c>
      <x:c r="T26" s="4" t="n">
        <x:v>1</x:v>
      </x:c>
      <x:c r="U26" s="4" t="str">
        <x:v>唯一P候选</x:v>
      </x:c>
      <x:c r="V26" s="4" t="str">
        <x:v>P06</x:v>
      </x:c>
      <x:c r="W26" s="4" t="str">
        <x:v>B2</x:v>
      </x:c>
      <x:c r="X26" s="4" t="str">
        <x:v>—</x:v>
      </x:c>
      <x:c r="Y26" s="4" t="str">
        <x:v>R1</x:v>
      </x:c>
      <x:c r="Z26" s="4" t="str">
        <x:v>R1</x:v>
      </x:c>
      <x:c r="AA26" s="4" t="str">
        <x:v>原条件原样继承，未独立验证split/样本量/预算有效性；执行先检查可用模态、query_time和官方评分协议</x:v>
      </x:c>
      <x:c r="AB26" s="4" t="str">
        <x:v>字幕定位后识别同期物体。</x:v>
      </x:c>
    </x:row>
    <x:row r="27" ht="52" customHeight="1">
      <x:c r="A27" s="4" t="str">
        <x:v>src.longvideobench.t2a.c01</x:v>
      </x:c>
      <x:c r="B27" s="4" t="str">
        <x:v>src.longvideobench.t2a</x:v>
      </x:c>
      <x:c r="C27" s="4" t="str">
        <x:v>LongVideoBench</x:v>
      </x:c>
      <x:c r="D27" s="4" t="str">
        <x:v>Text-referred Object Attribute</x:v>
      </x:c>
      <x:c r="E27" s="4" t="str">
        <x:v>T2A</x:v>
      </x:c>
      <x:c r="F27" s="4" t="str">
        <x:v>test/table2-leaf-counts</x:v>
      </x:c>
      <x:c r="G27" s="4" t="str">
        <x:v>video+subtitle/audio</x:v>
      </x:c>
      <x:c r="H27" s="4" t="str">
        <x:v>K选1</x:v>
      </x:c>
      <x:c r="I27" s="4" t="str">
        <x:v>5</x:v>
      </x:c>
      <x:c r="J27" s="4" t="str">
        <x:v>Accuracy</x:v>
      </x:c>
      <x:c r="K27" s="4" t="n">
        <x:v>402</x:v>
      </x:c>
      <x:c r="L27" s="4" t="str">
        <x:v>无</x:v>
      </x:c>
      <x:c r="M27" s="4" t="str">
        <x:v>unresolved</x:v>
      </x:c>
      <x:c r="N27" s="4" t="str">
        <x:v>unresolved</x:v>
      </x:c>
      <x:c r="O27" s="4" t="str">
        <x:v>unresolved</x:v>
      </x:c>
      <x:c r="P27" s="4" t="str">
        <x:v>unresolved</x:v>
      </x:c>
      <x:c r="Q27" s="4" t="str">
        <x:v>unresolved</x:v>
      </x:c>
      <x:c r="R27" s="4" t="str">
        <x:v>G14</x:v>
      </x:c>
      <x:c r="S27" s="4" t="str">
        <x:v>P06</x:v>
      </x:c>
      <x:c r="T27" s="4" t="n">
        <x:v>1</x:v>
      </x:c>
      <x:c r="U27" s="4" t="str">
        <x:v>唯一P候选</x:v>
      </x:c>
      <x:c r="V27" s="4" t="str">
        <x:v>P06</x:v>
      </x:c>
      <x:c r="W27" s="4" t="str">
        <x:v>B2</x:v>
      </x:c>
      <x:c r="X27" s="4" t="str">
        <x:v>—</x:v>
      </x:c>
      <x:c r="Y27" s="4" t="str">
        <x:v>R1</x:v>
      </x:c>
      <x:c r="Z27" s="4" t="str">
        <x:v>R1</x:v>
      </x:c>
      <x:c r="AA27" s="4" t="str">
        <x:v>原条件原样继承，未独立验证split/样本量/预算有效性；执行先检查可用模态、query_time和官方评分协议</x:v>
      </x:c>
      <x:c r="AB27" s="4" t="str">
        <x:v>字幕定位后读取穿着属性。</x:v>
      </x:c>
    </x:row>
    <x:row r="28" ht="52" customHeight="1">
      <x:c r="A28" s="4" t="str">
        <x:v>src.longvideobench.taa.c01</x:v>
      </x:c>
      <x:c r="B28" s="4" t="str">
        <x:v>src.longvideobench.taa</x:v>
      </x:c>
      <x:c r="C28" s="4" t="str">
        <x:v>LongVideoBench</x:v>
      </x:c>
      <x:c r="D28" s="4" t="str">
        <x:v>Text-referred Object Attribute Change</x:v>
      </x:c>
      <x:c r="E28" s="4" t="str">
        <x:v>TAA</x:v>
      </x:c>
      <x:c r="F28" s="4" t="str">
        <x:v>test/table2-leaf-counts</x:v>
      </x:c>
      <x:c r="G28" s="4" t="str">
        <x:v>video+subtitle/audio</x:v>
      </x:c>
      <x:c r="H28" s="4" t="str">
        <x:v>K选1</x:v>
      </x:c>
      <x:c r="I28" s="4" t="str">
        <x:v>5</x:v>
      </x:c>
      <x:c r="J28" s="4" t="str">
        <x:v>Accuracy</x:v>
      </x:c>
      <x:c r="K28" s="4" t="n">
        <x:v>348</x:v>
      </x:c>
      <x:c r="L28" s="4" t="str">
        <x:v>无</x:v>
      </x:c>
      <x:c r="M28" s="4" t="str">
        <x:v>unresolved</x:v>
      </x:c>
      <x:c r="N28" s="4" t="str">
        <x:v>unresolved</x:v>
      </x:c>
      <x:c r="O28" s="4" t="str">
        <x:v>unresolved</x:v>
      </x:c>
      <x:c r="P28" s="4" t="str">
        <x:v>unresolved</x:v>
      </x:c>
      <x:c r="Q28" s="4" t="str">
        <x:v>unresolved</x:v>
      </x:c>
      <x:c r="R28" s="4" t="str">
        <x:v>G41</x:v>
      </x:c>
      <x:c r="S28" s="4" t="str">
        <x:v>P06</x:v>
      </x:c>
      <x:c r="T28" s="4" t="n">
        <x:v>1</x:v>
      </x:c>
      <x:c r="U28" s="4" t="str">
        <x:v>唯一P候选</x:v>
      </x:c>
      <x:c r="V28" s="4" t="str">
        <x:v>P06</x:v>
      </x:c>
      <x:c r="W28" s="4" t="str">
        <x:v>B2</x:v>
      </x:c>
      <x:c r="X28" s="4" t="str">
        <x:v>—</x:v>
      </x:c>
      <x:c r="Y28" s="4" t="str">
        <x:v>R2</x:v>
      </x:c>
      <x:c r="Z28" s="4" t="str">
        <x:v>R2</x:v>
      </x:c>
      <x:c r="AA28" s="4" t="str">
        <x:v>原条件原样继承，未独立验证split/样本量/预算有效性；执行先检查可用模态、query_time和官方评分协议</x:v>
      </x:c>
      <x:c r="AB28" s="4" t="str">
        <x:v>指定字幕附近的火焰变化依赖有序多帧；不是单属性读取。</x:v>
      </x:c>
    </x:row>
    <x:row r="29" ht="52" customHeight="1">
      <x:c r="A29" s="4" t="str">
        <x:v>src.longvideobench.tos.c01</x:v>
      </x:c>
      <x:c r="B29" s="4" t="str">
        <x:v>src.longvideobench.tos</x:v>
      </x:c>
      <x:c r="C29" s="4" t="str">
        <x:v>LongVideoBench</x:v>
      </x:c>
      <x:c r="D29" s="4" t="str">
        <x:v>Text-referred Object Tracking</x:v>
      </x:c>
      <x:c r="E29" s="4" t="str">
        <x:v>TOS</x:v>
      </x:c>
      <x:c r="F29" s="4" t="str">
        <x:v>test/table2-leaf-counts</x:v>
      </x:c>
      <x:c r="G29" s="4" t="str">
        <x:v>video+subtitle/audio</x:v>
      </x:c>
      <x:c r="H29" s="4" t="str">
        <x:v>K选1</x:v>
      </x:c>
      <x:c r="I29" s="4" t="str">
        <x:v>4</x:v>
      </x:c>
      <x:c r="J29" s="4" t="str">
        <x:v>Accuracy</x:v>
      </x:c>
      <x:c r="K29" s="4" t="n">
        <x:v>380</x:v>
      </x:c>
      <x:c r="L29" s="4" t="str">
        <x:v>无</x:v>
      </x:c>
      <x:c r="M29" s="4" t="str">
        <x:v>unresolved</x:v>
      </x:c>
      <x:c r="N29" s="4" t="str">
        <x:v>unresolved</x:v>
      </x:c>
      <x:c r="O29" s="4" t="str">
        <x:v>unresolved</x:v>
      </x:c>
      <x:c r="P29" s="4" t="str">
        <x:v>unresolved</x:v>
      </x:c>
      <x:c r="Q29" s="4" t="str">
        <x:v>unresolved</x:v>
      </x:c>
      <x:c r="R29" s="4" t="str">
        <x:v>G09</x:v>
      </x:c>
      <x:c r="S29" s="4" t="str">
        <x:v>P13</x:v>
      </x:c>
      <x:c r="T29" s="4" t="n">
        <x:v>1</x:v>
      </x:c>
      <x:c r="U29" s="4" t="str">
        <x:v>唯一P候选</x:v>
      </x:c>
      <x:c r="V29" s="4" t="str">
        <x:v>P13</x:v>
      </x:c>
      <x:c r="W29" s="4" t="str">
        <x:v>B2</x:v>
      </x:c>
      <x:c r="X29" s="4" t="str">
        <x:v>—</x:v>
      </x:c>
      <x:c r="Y29" s="4" t="str">
        <x:v>R1</x:v>
      </x:c>
      <x:c r="Z29" s="4" t="str">
        <x:v>R1</x:v>
      </x:c>
      <x:c r="AA29" s="4" t="str">
        <x:v>原条件原样继承，未独立验证split/样本量/预算有效性；执行先检查可用模态、query_time和官方评分协议</x:v>
      </x:c>
      <x:c r="AB29" s="4" t="str">
        <x:v>示例由举手人物找到同期字幕；任务名字有Tracking，但不必维护连续轨迹。</x:v>
      </x:c>
    </x:row>
    <x:row r="30" ht="52" customHeight="1">
      <x:c r="A30" s="4" t="str">
        <x:v>src.lvbench.entity_recognition.c01</x:v>
      </x:c>
      <x:c r="B30" s="4" t="str">
        <x:v>src.lvbench.entity_recognition</x:v>
      </x:c>
      <x:c r="C30" s="4" t="str">
        <x:v>LVBench</x:v>
      </x:c>
      <x:c r="D30" s="4" t="str">
        <x:v>Entity Recognition</x:v>
      </x:c>
      <x:c r="E30" s="4" t="str">
        <x:v>—</x:v>
      </x:c>
      <x:c r="F30" s="4" t="str">
        <x:v>benchmark/full</x:v>
      </x:c>
      <x:c r="G30" s="4" t="str">
        <x:v>video_only</x:v>
      </x:c>
      <x:c r="H30" s="4" t="str">
        <x:v>K选1</x:v>
      </x:c>
      <x:c r="I30" s="4" t="str">
        <x:v>4</x:v>
      </x:c>
      <x:c r="J30" s="4" t="str">
        <x:v>Accuracy</x:v>
      </x:c>
      <x:c r="K30" s="4" t="n">
        <x:v>677</x:v>
      </x:c>
      <x:c r="L30" s="4" t="str">
        <x:v>无</x:v>
      </x:c>
      <x:c r="M30" s="4" t="str">
        <x:v>unresolved</x:v>
      </x:c>
      <x:c r="N30" s="4" t="str">
        <x:v>unresolved</x:v>
      </x:c>
      <x:c r="O30" s="4" t="str">
        <x:v>unresolved</x:v>
      </x:c>
      <x:c r="P30" s="4" t="str">
        <x:v>unresolved</x:v>
      </x:c>
      <x:c r="Q30" s="4" t="str">
        <x:v>unresolved</x:v>
      </x:c>
      <x:c r="R30" s="4" t="str">
        <x:v>G01 | G15 | G20</x:v>
      </x:c>
      <x:c r="S30" s="4" t="str">
        <x:v>P01 | P09 | P16</x:v>
      </x:c>
      <x:c r="T30" s="4" t="n">
        <x:v>3</x:v>
      </x:c>
      <x:c r="U30" s="4" t="str">
        <x:v>待P样本拆分</x:v>
      </x:c>
      <x:c r="V30" s="4" t="str">
        <x:v>unresolved</x:v>
      </x:c>
      <x:c r="W30" s="4" t="str">
        <x:v>B1</x:v>
      </x:c>
      <x:c r="X30" s="4" t="str">
        <x:v>—</x:v>
      </x:c>
      <x:c r="Y30" s="4" t="str">
        <x:v>R1</x:v>
      </x:c>
      <x:c r="Z30" s="4" t="str">
        <x:v>R1 | R2 | R4 | R6</x:v>
      </x:c>
      <x:c r="AA30" s="4" t="str">
        <x:v>原条件原样继承，未独立验证split/样本量/预算有效性；执行先检查可用模态、query_time和官方评分协议</x:v>
      </x:c>
      <x:c r="AB30" s="4" t="str">
        <x:v>6种能力可多标签组合。香的示例问实体根数，需实例去重；追踪/关系样本另分R2/R6。</x:v>
      </x:c>
    </x:row>
    <x:row r="31" ht="52" customHeight="1">
      <x:c r="A31" s="4" t="str">
        <x:v>src.lvbench.event_understanding.c01</x:v>
      </x:c>
      <x:c r="B31" s="4" t="str">
        <x:v>src.lvbench.event_understanding</x:v>
      </x:c>
      <x:c r="C31" s="4" t="str">
        <x:v>LVBench</x:v>
      </x:c>
      <x:c r="D31" s="4" t="str">
        <x:v>Event Understanding</x:v>
      </x:c>
      <x:c r="E31" s="4" t="str">
        <x:v>—</x:v>
      </x:c>
      <x:c r="F31" s="4" t="str">
        <x:v>benchmark/full</x:v>
      </x:c>
      <x:c r="G31" s="4" t="str">
        <x:v>video_only</x:v>
      </x:c>
      <x:c r="H31" s="4" t="str">
        <x:v>K选1</x:v>
      </x:c>
      <x:c r="I31" s="4" t="str">
        <x:v>4</x:v>
      </x:c>
      <x:c r="J31" s="4" t="str">
        <x:v>Accuracy</x:v>
      </x:c>
      <x:c r="K31" s="4" t="n">
        <x:v>647</x:v>
      </x:c>
      <x:c r="L31" s="4" t="str">
        <x:v>无</x:v>
      </x:c>
      <x:c r="M31" s="4" t="str">
        <x:v>unresolved</x:v>
      </x:c>
      <x:c r="N31" s="4" t="str">
        <x:v>unresolved</x:v>
      </x:c>
      <x:c r="O31" s="4" t="str">
        <x:v>unresolved</x:v>
      </x:c>
      <x:c r="P31" s="4" t="str">
        <x:v>unresolved</x:v>
      </x:c>
      <x:c r="Q31" s="4" t="str">
        <x:v>unresolved</x:v>
      </x:c>
      <x:c r="R31" s="4" t="str">
        <x:v>G01 | G15</x:v>
      </x:c>
      <x:c r="S31" s="4" t="str">
        <x:v>P01 | P09</x:v>
      </x:c>
      <x:c r="T31" s="4" t="n">
        <x:v>2</x:v>
      </x:c>
      <x:c r="U31" s="4" t="str">
        <x:v>待P样本拆分</x:v>
      </x:c>
      <x:c r="V31" s="4" t="str">
        <x:v>unresolved</x:v>
      </x:c>
      <x:c r="W31" s="4" t="str">
        <x:v>B1</x:v>
      </x:c>
      <x:c r="X31" s="4" t="str">
        <x:v>—</x:v>
      </x:c>
      <x:c r="Y31" s="4" t="str">
        <x:v>R1</x:v>
      </x:c>
      <x:c r="Z31" s="4" t="str">
        <x:v>R1 | R3 | R5</x:v>
      </x:c>
      <x:c r="AA31" s="4" t="str">
        <x:v>原条件原样继承，未独立验证split/样本量/预算有效性；执行先检查可用模态、query_time和官方评分协议</x:v>
      </x:c>
      <x:c r="AB31" s="4" t="str">
        <x:v>天气示例是开场局部观察；Fig.1换人次数需R3；视频类型/整体流程可能需R5。</x:v>
      </x:c>
    </x:row>
    <x:row r="32" ht="52" customHeight="1">
      <x:c r="A32" s="4" t="str">
        <x:v>src.lvbench.key_information_retrieval.c01</x:v>
      </x:c>
      <x:c r="B32" s="4" t="str">
        <x:v>src.lvbench.key_information_retrieval</x:v>
      </x:c>
      <x:c r="C32" s="4" t="str">
        <x:v>LVBench</x:v>
      </x:c>
      <x:c r="D32" s="4" t="str">
        <x:v>Key Information Retrieval</x:v>
      </x:c>
      <x:c r="E32" s="4" t="str">
        <x:v>—</x:v>
      </x:c>
      <x:c r="F32" s="4" t="str">
        <x:v>benchmark/full</x:v>
      </x:c>
      <x:c r="G32" s="4" t="str">
        <x:v>video_only</x:v>
      </x:c>
      <x:c r="H32" s="4" t="str">
        <x:v>K选1</x:v>
      </x:c>
      <x:c r="I32" s="4" t="str">
        <x:v>4</x:v>
      </x:c>
      <x:c r="J32" s="4" t="str">
        <x:v>Accuracy</x:v>
      </x:c>
      <x:c r="K32" s="4" t="n">
        <x:v>291</x:v>
      </x:c>
      <x:c r="L32" s="4" t="str">
        <x:v>无</x:v>
      </x:c>
      <x:c r="M32" s="4" t="str">
        <x:v>unresolved</x:v>
      </x:c>
      <x:c r="N32" s="4" t="str">
        <x:v>unresolved</x:v>
      </x:c>
      <x:c r="O32" s="4" t="str">
        <x:v>unresolved</x:v>
      </x:c>
      <x:c r="P32" s="4" t="str">
        <x:v>unresolved</x:v>
      </x:c>
      <x:c r="Q32" s="4" t="str">
        <x:v>unresolved</x:v>
      </x:c>
      <x:c r="R32" s="4" t="str">
        <x:v>G07 | G15</x:v>
      </x:c>
      <x:c r="S32" s="4" t="str">
        <x:v>P01 | P09</x:v>
      </x:c>
      <x:c r="T32" s="4" t="n">
        <x:v>2</x:v>
      </x:c>
      <x:c r="U32" s="4" t="str">
        <x:v>待P样本拆分</x:v>
      </x:c>
      <x:c r="V32" s="4" t="str">
        <x:v>unresolved</x:v>
      </x:c>
      <x:c r="W32" s="4" t="str">
        <x:v>B1</x:v>
      </x:c>
      <x:c r="X32" s="4" t="str">
        <x:v>—</x:v>
      </x:c>
      <x:c r="Y32" s="4" t="str">
        <x:v>R1</x:v>
      </x:c>
      <x:c r="Z32" s="4" t="str">
        <x:v>R1 | R4 | R8</x:v>
      </x:c>
      <x:c r="AA32" s="4" t="str">
        <x:v>原条件原样继承，未独立验证split/样本量/预算有效性；执行先检查可用模态、query_time和官方评分协议</x:v>
      </x:c>
      <x:c r="AB32" s="4" t="str">
        <x:v>片头年份可局部OCR；所有关键词需R4，依据读数计算才R8。</x:v>
      </x:c>
    </x:row>
    <x:row r="33" ht="52" customHeight="1">
      <x:c r="A33" s="4" t="str">
        <x:v>src.lvbench.reasoning.c01</x:v>
      </x:c>
      <x:c r="B33" s="4" t="str">
        <x:v>src.lvbench.reasoning</x:v>
      </x:c>
      <x:c r="C33" s="4" t="str">
        <x:v>LVBench</x:v>
      </x:c>
      <x:c r="D33" s="4" t="str">
        <x:v>Reasoning</x:v>
      </x:c>
      <x:c r="E33" s="4" t="str">
        <x:v>—</x:v>
      </x:c>
      <x:c r="F33" s="4" t="str">
        <x:v>benchmark/full</x:v>
      </x:c>
      <x:c r="G33" s="4" t="str">
        <x:v>video_only</x:v>
      </x:c>
      <x:c r="H33" s="4" t="str">
        <x:v>K选1</x:v>
      </x:c>
      <x:c r="I33" s="4" t="str">
        <x:v>4</x:v>
      </x:c>
      <x:c r="J33" s="4" t="str">
        <x:v>Accuracy</x:v>
      </x:c>
      <x:c r="K33" s="4" t="n">
        <x:v>201</x:v>
      </x:c>
      <x:c r="L33" s="4" t="str">
        <x:v>无</x:v>
      </x:c>
      <x:c r="M33" s="4" t="str">
        <x:v>unresolved</x:v>
      </x:c>
      <x:c r="N33" s="4" t="str">
        <x:v>unresolved</x:v>
      </x:c>
      <x:c r="O33" s="4" t="str">
        <x:v>unresolved</x:v>
      </x:c>
      <x:c r="P33" s="4" t="str">
        <x:v>unresolved</x:v>
      </x:c>
      <x:c r="Q33" s="4" t="str">
        <x:v>unresolved</x:v>
      </x:c>
      <x:c r="R33" s="4" t="str">
        <x:v>G17 | G31</x:v>
      </x:c>
      <x:c r="S33" s="4" t="str">
        <x:v>P11</x:v>
      </x:c>
      <x:c r="T33" s="4" t="n">
        <x:v>1</x:v>
      </x:c>
      <x:c r="U33" s="4" t="str">
        <x:v>唯一P候选</x:v>
      </x:c>
      <x:c r="V33" s="4" t="str">
        <x:v>P11</x:v>
      </x:c>
      <x:c r="W33" s="4" t="str">
        <x:v>B1</x:v>
      </x:c>
      <x:c r="X33" s="4" t="str">
        <x:v>—</x:v>
      </x:c>
      <x:c r="Y33" s="4" t="str">
        <x:v>R6</x:v>
      </x:c>
      <x:c r="Z33" s="4" t="str">
        <x:v>R1 | R6 | R7</x:v>
      </x:c>
      <x:c r="AA33" s="4" t="str">
        <x:v>原条件原样继承，未独立验证split/样本量/预算有效性；执行先检查可用模态、query_time和官方评分协议</x:v>
      </x:c>
      <x:c r="AB33" s="4" t="str">
        <x:v>母子不能进城的原因需证据支撑；明示原因可R1；原定义也含未来预测，需R7分支。</x:v>
      </x:c>
    </x:row>
    <x:row r="34" ht="52" customHeight="1">
      <x:c r="A34" s="4" t="str">
        <x:v>src.lvbench.summarization.c01</x:v>
      </x:c>
      <x:c r="B34" s="4" t="str">
        <x:v>src.lvbench.summarization</x:v>
      </x:c>
      <x:c r="C34" s="4" t="str">
        <x:v>LVBench</x:v>
      </x:c>
      <x:c r="D34" s="4" t="str">
        <x:v>Summarization</x:v>
      </x:c>
      <x:c r="E34" s="4" t="str">
        <x:v>—</x:v>
      </x:c>
      <x:c r="F34" s="4" t="str">
        <x:v>benchmark/full</x:v>
      </x:c>
      <x:c r="G34" s="4" t="str">
        <x:v>video_only</x:v>
      </x:c>
      <x:c r="H34" s="4" t="str">
        <x:v>K选1</x:v>
      </x:c>
      <x:c r="I34" s="4" t="str">
        <x:v>4</x:v>
      </x:c>
      <x:c r="J34" s="4" t="str">
        <x:v>Accuracy</x:v>
      </x:c>
      <x:c r="K34" s="4" t="n">
        <x:v>58</x:v>
      </x:c>
      <x:c r="L34" s="4" t="str">
        <x:v>无</x:v>
      </x:c>
      <x:c r="M34" s="4" t="str">
        <x:v>unresolved</x:v>
      </x:c>
      <x:c r="N34" s="4" t="str">
        <x:v>unresolved</x:v>
      </x:c>
      <x:c r="O34" s="4" t="str">
        <x:v>unresolved</x:v>
      </x:c>
      <x:c r="P34" s="4" t="str">
        <x:v>unresolved</x:v>
      </x:c>
      <x:c r="Q34" s="4" t="str">
        <x:v>unresolved</x:v>
      </x:c>
      <x:c r="R34" s="4" t="str">
        <x:v>G10 | G16 | G17</x:v>
      </x:c>
      <x:c r="S34" s="4" t="str">
        <x:v>P06 | P10 | P11</x:v>
      </x:c>
      <x:c r="T34" s="4" t="n">
        <x:v>3</x:v>
      </x:c>
      <x:c r="U34" s="4" t="str">
        <x:v>待P样本拆分</x:v>
      </x:c>
      <x:c r="V34" s="4" t="str">
        <x:v>unresolved</x:v>
      </x:c>
      <x:c r="W34" s="4" t="str">
        <x:v>B1</x:v>
      </x:c>
      <x:c r="X34" s="4" t="str">
        <x:v>—</x:v>
      </x:c>
      <x:c r="Y34" s="4" t="str">
        <x:v>R5</x:v>
      </x:c>
      <x:c r="Z34" s="4" t="str">
        <x:v>R1 | R5 | R6</x:v>
      </x:c>
      <x:c r="AA34" s="4" t="str">
        <x:v>原条件原样继承，未独立验证split/样本量/预算有效性；执行先检查可用模态、query_time和官方评分协议</x:v>
      </x:c>
      <x:c r="AB34" s="4" t="str">
        <x:v>原生总括定义以R5为主；表内示例只问威胁之后主角做什么，更像锚点后局部事件，不证明P10/P11都必要。</x:v>
      </x:c>
    </x:row>
    <x:row r="35" ht="52" customHeight="1">
      <x:c r="A35" s="4" t="str">
        <x:v>src.lvbench.temporal_grounding.c01</x:v>
      </x:c>
      <x:c r="B35" s="4" t="str">
        <x:v>src.lvbench.temporal_grounding</x:v>
      </x:c>
      <x:c r="C35" s="4" t="str">
        <x:v>LVBench</x:v>
      </x:c>
      <x:c r="D35" s="4" t="str">
        <x:v>Temporal Grounding</x:v>
      </x:c>
      <x:c r="E35" s="4" t="str">
        <x:v>—</x:v>
      </x:c>
      <x:c r="F35" s="4" t="str">
        <x:v>benchmark/full</x:v>
      </x:c>
      <x:c r="G35" s="4" t="str">
        <x:v>video_only</x:v>
      </x:c>
      <x:c r="H35" s="4" t="str">
        <x:v>K选1</x:v>
      </x:c>
      <x:c r="I35" s="4" t="str">
        <x:v>4</x:v>
      </x:c>
      <x:c r="J35" s="4" t="str">
        <x:v>Accuracy</x:v>
      </x:c>
      <x:c r="K35" s="4" t="n">
        <x:v>220</x:v>
      </x:c>
      <x:c r="L35" s="4" t="str">
        <x:v>无</x:v>
      </x:c>
      <x:c r="M35" s="4" t="str">
        <x:v>unresolved</x:v>
      </x:c>
      <x:c r="N35" s="4" t="str">
        <x:v>unresolved</x:v>
      </x:c>
      <x:c r="O35" s="4" t="str">
        <x:v>unresolved</x:v>
      </x:c>
      <x:c r="P35" s="4" t="str">
        <x:v>unresolved</x:v>
      </x:c>
      <x:c r="Q35" s="4" t="str">
        <x:v>unresolved</x:v>
      </x:c>
      <x:c r="R35" s="4" t="str">
        <x:v>G42</x:v>
      </x:c>
      <x:c r="S35" s="4" t="str">
        <x:v>P01</x:v>
      </x:c>
      <x:c r="T35" s="4" t="n">
        <x:v>1</x:v>
      </x:c>
      <x:c r="U35" s="4" t="str">
        <x:v>唯一P候选</x:v>
      </x:c>
      <x:c r="V35" s="4" t="str">
        <x:v>P01</x:v>
      </x:c>
      <x:c r="W35" s="4" t="str">
        <x:v>B1</x:v>
      </x:c>
      <x:c r="X35" s="4" t="str">
        <x:v>—</x:v>
      </x:c>
      <x:c r="Y35" s="4" t="str">
        <x:v>R3</x:v>
      </x:c>
      <x:c r="Z35" s="4" t="str">
        <x:v>R1 | R3</x:v>
      </x:c>
      <x:c r="AA35" s="4" t="str">
        <x:v>原条件原样继承，未独立验证split/样本量/预算有效性；执行先检查可用模态、query_time和官方评分协议</x:v>
      </x:c>
      <x:c r="AB35" s="4" t="str">
        <x:v>给定01:58–02:46问发生什么走R1；原定义还包含事件定位、持续时间及顺序，走R3。</x:v>
      </x:c>
    </x:row>
    <x:row r="36" ht="52" customHeight="1">
      <x:c r="A36" s="4" t="str">
        <x:v>src.mlvu.ac.c01</x:v>
      </x:c>
      <x:c r="B36" s="4" t="str">
        <x:v>src.mlvu.ac</x:v>
      </x:c>
      <x:c r="C36" s="4" t="str">
        <x:v>MLVU</x:v>
      </x:c>
      <x:c r="D36" s="4" t="str">
        <x:v>Action Count</x:v>
      </x:c>
      <x:c r="E36" s="4" t="str">
        <x:v>AC</x:v>
      </x:c>
      <x:c r="F36" s="4" t="str">
        <x:v>dev+test</x:v>
      </x:c>
      <x:c r="G36" s="4" t="str">
        <x:v>video_only</x:v>
      </x:c>
      <x:c r="H36" s="4" t="str">
        <x:v>K选1</x:v>
      </x:c>
      <x:c r="I36" s="4" t="str">
        <x:v>4 (dev) / 6 (test)</x:v>
      </x:c>
      <x:c r="J36" s="4" t="str">
        <x:v>Accuracy</x:v>
      </x:c>
      <x:c r="K36" s="4" t="n">
        <x:v>266</x:v>
      </x:c>
      <x:c r="L36" s="4" t="str">
        <x:v>无</x:v>
      </x:c>
      <x:c r="M36" s="4" t="str">
        <x:v>unresolved</x:v>
      </x:c>
      <x:c r="N36" s="4" t="str">
        <x:v>unresolved</x:v>
      </x:c>
      <x:c r="O36" s="4" t="str">
        <x:v>unresolved</x:v>
      </x:c>
      <x:c r="P36" s="4" t="str">
        <x:v>unresolved</x:v>
      </x:c>
      <x:c r="Q36" s="4" t="str">
        <x:v>unresolved</x:v>
      </x:c>
      <x:c r="R36" s="4" t="str">
        <x:v>G22</x:v>
      </x:c>
      <x:c r="S36" s="4" t="str">
        <x:v>P05</x:v>
      </x:c>
      <x:c r="T36" s="4" t="n">
        <x:v>1</x:v>
      </x:c>
      <x:c r="U36" s="4" t="str">
        <x:v>唯一P候选</x:v>
      </x:c>
      <x:c r="V36" s="4" t="str">
        <x:v>P05</x:v>
      </x:c>
      <x:c r="W36" s="4" t="str">
        <x:v>B1</x:v>
      </x:c>
      <x:c r="X36" s="4" t="str">
        <x:v>P05扫描计划仍需显式预算</x:v>
      </x:c>
      <x:c r="Y36" s="4" t="str">
        <x:v>R3</x:v>
      </x:c>
      <x:c r="Z36" s="4" t="str">
        <x:v>R3</x:v>
      </x:c>
      <x:c r="AA36" s="4" t="str">
        <x:v>原条件原样继承，未独立验证split/样本量/预算有效性；执行先检查可用模态、query_time和官方评分协议</x:v>
      </x:c>
      <x:c r="AB36" s="4" t="str">
        <x:v>统计插入目标动作的独立occurrence；跨窗口去重。</x:v>
      </x:c>
    </x:row>
    <x:row r="37" ht="52" customHeight="1">
      <x:c r="A37" s="4" t="str">
        <x:v>src.mlvu.ao.c01</x:v>
      </x:c>
      <x:c r="B37" s="4" t="str">
        <x:v>src.mlvu.ao</x:v>
      </x:c>
      <x:c r="C37" s="4" t="str">
        <x:v>MLVU</x:v>
      </x:c>
      <x:c r="D37" s="4" t="str">
        <x:v>Action Order</x:v>
      </x:c>
      <x:c r="E37" s="4" t="str">
        <x:v>AO</x:v>
      </x:c>
      <x:c r="F37" s="4" t="str">
        <x:v>dev+test</x:v>
      </x:c>
      <x:c r="G37" s="4" t="str">
        <x:v>video_only</x:v>
      </x:c>
      <x:c r="H37" s="4" t="str">
        <x:v>K选1</x:v>
      </x:c>
      <x:c r="I37" s="4" t="str">
        <x:v>4 (dev) / 6 (test)</x:v>
      </x:c>
      <x:c r="J37" s="4" t="str">
        <x:v>Accuracy</x:v>
      </x:c>
      <x:c r="K37" s="4" t="n">
        <x:v>329</x:v>
      </x:c>
      <x:c r="L37" s="4" t="str">
        <x:v>无</x:v>
      </x:c>
      <x:c r="M37" s="4" t="str">
        <x:v>unresolved</x:v>
      </x:c>
      <x:c r="N37" s="4" t="str">
        <x:v>unresolved</x:v>
      </x:c>
      <x:c r="O37" s="4" t="str">
        <x:v>unresolved</x:v>
      </x:c>
      <x:c r="P37" s="4" t="str">
        <x:v>unresolved</x:v>
      </x:c>
      <x:c r="Q37" s="4" t="str">
        <x:v>unresolved</x:v>
      </x:c>
      <x:c r="R37" s="4" t="str">
        <x:v>G11</x:v>
      </x:c>
      <x:c r="S37" s="4" t="str">
        <x:v>P07</x:v>
      </x:c>
      <x:c r="T37" s="4" t="n">
        <x:v>1</x:v>
      </x:c>
      <x:c r="U37" s="4" t="str">
        <x:v>唯一P候选</x:v>
      </x:c>
      <x:c r="V37" s="4" t="str">
        <x:v>P07</x:v>
      </x:c>
      <x:c r="W37" s="4" t="str">
        <x:v>B1</x:v>
      </x:c>
      <x:c r="X37" s="4" t="str">
        <x:v>—</x:v>
      </x:c>
      <x:c r="Y37" s="4" t="str">
        <x:v>R3</x:v>
      </x:c>
      <x:c r="Z37" s="4" t="str">
        <x:v>R3</x:v>
      </x:c>
      <x:c r="AA37" s="4" t="str">
        <x:v>原条件原样继承，未独立验证split/样本量/预算有效性；执行先检查可用模态、query_time和官方评分协议</x:v>
      </x:c>
      <x:c r="AB37" s="4" t="str">
        <x:v>为各动作建时间索引后排序。</x:v>
      </x:c>
    </x:row>
    <x:row r="38" ht="52" customHeight="1">
      <x:c r="A38" s="4" t="str">
        <x:v>src.mlvu.ar.c01</x:v>
      </x:c>
      <x:c r="B38" s="4" t="str">
        <x:v>src.mlvu.ar</x:v>
      </x:c>
      <x:c r="C38" s="4" t="str">
        <x:v>MLVU</x:v>
      </x:c>
      <x:c r="D38" s="4" t="str">
        <x:v>Anomaly Recognition</x:v>
      </x:c>
      <x:c r="E38" s="4" t="str">
        <x:v>AR</x:v>
      </x:c>
      <x:c r="F38" s="4" t="str">
        <x:v>dev+test</x:v>
      </x:c>
      <x:c r="G38" s="4" t="str">
        <x:v>video_only</x:v>
      </x:c>
      <x:c r="H38" s="4" t="str">
        <x:v>K选1</x:v>
      </x:c>
      <x:c r="I38" s="4" t="str">
        <x:v>4 (dev) / 6 (test)</x:v>
      </x:c>
      <x:c r="J38" s="4" t="str">
        <x:v>Accuracy</x:v>
      </x:c>
      <x:c r="K38" s="4" t="n">
        <x:v>239</x:v>
      </x:c>
      <x:c r="L38" s="4" t="str">
        <x:v>无</x:v>
      </x:c>
      <x:c r="M38" s="4" t="str">
        <x:v>unresolved</x:v>
      </x:c>
      <x:c r="N38" s="4" t="str">
        <x:v>unresolved</x:v>
      </x:c>
      <x:c r="O38" s="4" t="str">
        <x:v>unresolved</x:v>
      </x:c>
      <x:c r="P38" s="4" t="str">
        <x:v>unresolved</x:v>
      </x:c>
      <x:c r="Q38" s="4" t="str">
        <x:v>unresolved</x:v>
      </x:c>
      <x:c r="R38" s="4" t="str">
        <x:v>G02</x:v>
      </x:c>
      <x:c r="S38" s="4" t="str">
        <x:v>P14</x:v>
      </x:c>
      <x:c r="T38" s="4" t="n">
        <x:v>1</x:v>
      </x:c>
      <x:c r="U38" s="4" t="str">
        <x:v>唯一P候选</x:v>
      </x:c>
      <x:c r="V38" s="4" t="str">
        <x:v>P14</x:v>
      </x:c>
      <x:c r="W38" s="4" t="str">
        <x:v>B1</x:v>
      </x:c>
      <x:c r="X38" s="4" t="str">
        <x:v>—</x:v>
      </x:c>
      <x:c r="Y38" s="4" t="str">
        <x:v>R1</x:v>
      </x:c>
      <x:c r="Z38" s="4" t="str">
        <x:v>R1 | R6</x:v>
      </x:c>
      <x:c r="AA38" s="4" t="str">
        <x:v>原条件原样继承，未独立验证split/样本量/预算有效性；执行先检查可用模态、query_time和官方评分协议</x:v>
      </x:c>
      <x:c r="AB38" s="4" t="str">
        <x:v>找出监控异常片段并分类；需要覆盖扫描，但不必建立显式期望世界。解释为何异常另用R6。</x:v>
      </x:c>
    </x:row>
    <x:row r="39" ht="52" customHeight="1">
      <x:c r="A39" s="4" t="str">
        <x:v>src.mlvu.er.c01</x:v>
      </x:c>
      <x:c r="B39" s="4" t="str">
        <x:v>src.mlvu.er</x:v>
      </x:c>
      <x:c r="C39" s="4" t="str">
        <x:v>MLVU</x:v>
      </x:c>
      <x:c r="D39" s="4" t="str">
        <x:v>Ego Reasoning</x:v>
      </x:c>
      <x:c r="E39" s="4" t="str">
        <x:v>ER</x:v>
      </x:c>
      <x:c r="F39" s="4" t="str">
        <x:v>dev+test</x:v>
      </x:c>
      <x:c r="G39" s="4" t="str">
        <x:v>video_only</x:v>
      </x:c>
      <x:c r="H39" s="4" t="str">
        <x:v>K选1</x:v>
      </x:c>
      <x:c r="I39" s="4" t="str">
        <x:v>4 (dev) / 6 (test)</x:v>
      </x:c>
      <x:c r="J39" s="4" t="str">
        <x:v>Accuracy</x:v>
      </x:c>
      <x:c r="K39" s="4" t="n">
        <x:v>405</x:v>
      </x:c>
      <x:c r="L39" s="4" t="str">
        <x:v>无</x:v>
      </x:c>
      <x:c r="M39" s="4" t="str">
        <x:v>unresolved</x:v>
      </x:c>
      <x:c r="N39" s="4" t="str">
        <x:v>unresolved</x:v>
      </x:c>
      <x:c r="O39" s="4" t="str">
        <x:v>unresolved</x:v>
      </x:c>
      <x:c r="P39" s="4" t="str">
        <x:v>unresolved</x:v>
      </x:c>
      <x:c r="Q39" s="4" t="str">
        <x:v>unresolved</x:v>
      </x:c>
      <x:c r="R39" s="4" t="str">
        <x:v>G05 | G40</x:v>
      </x:c>
      <x:c r="S39" s="4" t="str">
        <x:v>P02 | P11</x:v>
      </x:c>
      <x:c r="T39" s="4" t="n">
        <x:v>2</x:v>
      </x:c>
      <x:c r="U39" s="4" t="str">
        <x:v>待P样本拆分</x:v>
      </x:c>
      <x:c r="V39" s="4" t="str">
        <x:v>unresolved</x:v>
      </x:c>
      <x:c r="W39" s="4" t="str">
        <x:v>B1</x:v>
      </x:c>
      <x:c r="X39" s="4" t="str">
        <x:v>—</x:v>
      </x:c>
      <x:c r="Y39" s="4" t="str">
        <x:v>R1</x:v>
      </x:c>
      <x:c r="Z39" s="4" t="str">
        <x:v>R1 | R2 | R6</x:v>
      </x:c>
      <x:c r="AA39" s="4" t="str">
        <x:v>原条件原样继承，未独立验证split/样本量/预算有效性；执行先检查可用模态、query_time和官方评分协议</x:v>
      </x:c>
      <x:c r="AB39" s="4" t="str">
        <x:v>Fig.2问挂手套之前放哪里，是锚点之前状态检索；必要时同一实体关联；原因解释才R6。</x:v>
      </x:c>
    </x:row>
    <x:row r="40" ht="52" customHeight="1">
      <x:c r="A40" s="4" t="str">
        <x:v>src.mlvu.nqa.c01</x:v>
      </x:c>
      <x:c r="B40" s="4" t="str">
        <x:v>src.mlvu.nqa</x:v>
      </x:c>
      <x:c r="C40" s="4" t="str">
        <x:v>MLVU</x:v>
      </x:c>
      <x:c r="D40" s="4" t="str">
        <x:v>Needle QA</x:v>
      </x:c>
      <x:c r="E40" s="4" t="str">
        <x:v>NQA</x:v>
      </x:c>
      <x:c r="F40" s="4" t="str">
        <x:v>dev+test</x:v>
      </x:c>
      <x:c r="G40" s="4" t="str">
        <x:v>video_only</x:v>
      </x:c>
      <x:c r="H40" s="4" t="str">
        <x:v>K选1</x:v>
      </x:c>
      <x:c r="I40" s="4" t="str">
        <x:v>4 (dev) / 6 (test)</x:v>
      </x:c>
      <x:c r="J40" s="4" t="str">
        <x:v>Accuracy</x:v>
      </x:c>
      <x:c r="K40" s="4" t="n">
        <x:v>415</x:v>
      </x:c>
      <x:c r="L40" s="4" t="str">
        <x:v>无</x:v>
      </x:c>
      <x:c r="M40" s="4" t="str">
        <x:v>unresolved</x:v>
      </x:c>
      <x:c r="N40" s="4" t="str">
        <x:v>unresolved</x:v>
      </x:c>
      <x:c r="O40" s="4" t="str">
        <x:v>unresolved</x:v>
      </x:c>
      <x:c r="P40" s="4" t="str">
        <x:v>unresolved</x:v>
      </x:c>
      <x:c r="Q40" s="4" t="str">
        <x:v>unresolved</x:v>
      </x:c>
      <x:c r="R40" s="4" t="str">
        <x:v>G15</x:v>
      </x:c>
      <x:c r="S40" s="4" t="str">
        <x:v>P09</x:v>
      </x:c>
      <x:c r="T40" s="4" t="n">
        <x:v>1</x:v>
      </x:c>
      <x:c r="U40" s="4" t="str">
        <x:v>唯一P候选</x:v>
      </x:c>
      <x:c r="V40" s="4" t="str">
        <x:v>P09</x:v>
      </x:c>
      <x:c r="W40" s="4" t="str">
        <x:v>B1</x:v>
      </x:c>
      <x:c r="X40" s="4" t="str">
        <x:v>—</x:v>
      </x:c>
      <x:c r="Y40" s="4" t="str">
        <x:v>R1</x:v>
      </x:c>
      <x:c r="Z40" s="4" t="str">
        <x:v>R1</x:v>
      </x:c>
      <x:c r="AA40" s="4" t="str">
        <x:v>原条件原样继承，未独立验证split/样本量/预算有效性；执行先检查可用模态、query_time和官方评分协议</x:v>
      </x:c>
      <x:c r="AB40" s="4" t="str">
        <x:v>先在背景视频中定位插入needle，再局部问答；长短只是检索配置。</x:v>
      </x:c>
    </x:row>
    <x:row r="41" ht="52" customHeight="1">
      <x:c r="A41" s="4" t="str">
        <x:v>src.mlvu.pqa.c01</x:v>
      </x:c>
      <x:c r="B41" s="4" t="str">
        <x:v>src.mlvu.pqa</x:v>
      </x:c>
      <x:c r="C41" s="4" t="str">
        <x:v>MLVU</x:v>
      </x:c>
      <x:c r="D41" s="4" t="str">
        <x:v>Plot QA</x:v>
      </x:c>
      <x:c r="E41" s="4" t="str">
        <x:v>PQA</x:v>
      </x:c>
      <x:c r="F41" s="4" t="str">
        <x:v>dev+test</x:v>
      </x:c>
      <x:c r="G41" s="4" t="str">
        <x:v>video_only</x:v>
      </x:c>
      <x:c r="H41" s="4" t="str">
        <x:v>K选1</x:v>
      </x:c>
      <x:c r="I41" s="4" t="str">
        <x:v>4 (dev) / 6 (test)</x:v>
      </x:c>
      <x:c r="J41" s="4" t="str">
        <x:v>Accuracy</x:v>
      </x:c>
      <x:c r="K41" s="4" t="n">
        <x:v>589</x:v>
      </x:c>
      <x:c r="L41" s="4" t="str">
        <x:v>无</x:v>
      </x:c>
      <x:c r="M41" s="4" t="str">
        <x:v>unresolved</x:v>
      </x:c>
      <x:c r="N41" s="4" t="str">
        <x:v>unresolved</x:v>
      </x:c>
      <x:c r="O41" s="4" t="str">
        <x:v>unresolved</x:v>
      </x:c>
      <x:c r="P41" s="4" t="str">
        <x:v>unresolved</x:v>
      </x:c>
      <x:c r="Q41" s="4" t="str">
        <x:v>unresolved</x:v>
      </x:c>
      <x:c r="R41" s="4" t="str">
        <x:v>G17</x:v>
      </x:c>
      <x:c r="S41" s="4" t="str">
        <x:v>P11</x:v>
      </x:c>
      <x:c r="T41" s="4" t="n">
        <x:v>1</x:v>
      </x:c>
      <x:c r="U41" s="4" t="str">
        <x:v>唯一P候选</x:v>
      </x:c>
      <x:c r="V41" s="4" t="str">
        <x:v>P11</x:v>
      </x:c>
      <x:c r="W41" s="4" t="str">
        <x:v>B1</x:v>
      </x:c>
      <x:c r="X41" s="4" t="str">
        <x:v>—</x:v>
      </x:c>
      <x:c r="Y41" s="4" t="str">
        <x:v>R1</x:v>
      </x:c>
      <x:c r="Z41" s="4" t="str">
        <x:v>R1 | R6</x:v>
      </x:c>
      <x:c r="AA41" s="4" t="str">
        <x:v>原条件原样继承，未独立验证split/样本量/预算有效性；执行先检查可用模态、query_time和官方评分协议</x:v>
      </x:c>
      <x:c r="AB41" s="4" t="str">
        <x:v>Fig.2猫鼠例题问所用物体；局部取证可解，不应因Plot就强制多跳图。</x:v>
      </x:c>
    </x:row>
    <x:row r="42" ht="52" customHeight="1">
      <x:c r="A42" s="4" t="str">
        <x:v>src.mlvu.ssc.c01</x:v>
      </x:c>
      <x:c r="B42" s="4" t="str">
        <x:v>src.mlvu.ssc</x:v>
      </x:c>
      <x:c r="C42" s="4" t="str">
        <x:v>MLVU</x:v>
      </x:c>
      <x:c r="D42" s="4" t="str">
        <x:v>Sub-Scene Captioning</x:v>
      </x:c>
      <x:c r="E42" s="4" t="str">
        <x:v>SSC</x:v>
      </x:c>
      <x:c r="F42" s="4" t="str">
        <x:v>dev+test</x:v>
      </x:c>
      <x:c r="G42" s="4" t="str">
        <x:v>video_only</x:v>
      </x:c>
      <x:c r="H42" s="4" t="str">
        <x:v>开放文本</x:v>
      </x:c>
      <x:c r="I42" s="4" t="str">
        <x:v>0</x:v>
      </x:c>
      <x:c r="J42" s="4" t="str">
        <x:v>GPT-4 Judge: Accuracy+Relevance</x:v>
      </x:c>
      <x:c r="K42" s="4" t="n">
        <x:v>247</x:v>
      </x:c>
      <x:c r="L42" s="4" t="str">
        <x:v>无</x:v>
      </x:c>
      <x:c r="M42" s="4" t="str">
        <x:v>unresolved</x:v>
      </x:c>
      <x:c r="N42" s="4" t="str">
        <x:v>unresolved</x:v>
      </x:c>
      <x:c r="O42" s="4" t="str">
        <x:v>unresolved</x:v>
      </x:c>
      <x:c r="P42" s="4" t="str">
        <x:v>unresolved</x:v>
      </x:c>
      <x:c r="Q42" s="4" t="str">
        <x:v>unresolved</x:v>
      </x:c>
      <x:c r="R42" s="4" t="str">
        <x:v>G39</x:v>
      </x:c>
      <x:c r="S42" s="4" t="str">
        <x:v>P01</x:v>
      </x:c>
      <x:c r="T42" s="4" t="n">
        <x:v>1</x:v>
      </x:c>
      <x:c r="U42" s="4" t="str">
        <x:v>唯一P候选</x:v>
      </x:c>
      <x:c r="V42" s="4" t="str">
        <x:v>P01</x:v>
      </x:c>
      <x:c r="W42" s="4" t="str">
        <x:v>B3</x:v>
      </x:c>
      <x:c r="X42" s="4" t="str">
        <x:v>—</x:v>
      </x:c>
      <x:c r="Y42" s="4" t="str">
        <x:v>R1</x:v>
      </x:c>
      <x:c r="Z42" s="4" t="str">
        <x:v>R1 | R5</x:v>
      </x:c>
      <x:c r="AA42" s="4" t="str">
        <x:v>原条件原样继承，未独立验证split/样本量/预算有效性；执行先检查可用模态、query_time和官方评分协议</x:v>
      </x:c>
      <x:c r="AB42" s="4" t="str">
        <x:v>先定位被描述子场景，再生成局部描述；生成输出不是新pipeline。</x:v>
      </x:c>
    </x:row>
    <x:row r="43" ht="52" customHeight="1">
      <x:c r="A43" s="4" t="str">
        <x:v>src.mlvu.tr.c01</x:v>
      </x:c>
      <x:c r="B43" s="4" t="str">
        <x:v>src.mlvu.tr</x:v>
      </x:c>
      <x:c r="C43" s="4" t="str">
        <x:v>MLVU</x:v>
      </x:c>
      <x:c r="D43" s="4" t="str">
        <x:v>Topic Reasoning</x:v>
      </x:c>
      <x:c r="E43" s="4" t="str">
        <x:v>TR</x:v>
      </x:c>
      <x:c r="F43" s="4" t="str">
        <x:v>dev+test</x:v>
      </x:c>
      <x:c r="G43" s="4" t="str">
        <x:v>video_only</x:v>
      </x:c>
      <x:c r="H43" s="4" t="str">
        <x:v>K选1</x:v>
      </x:c>
      <x:c r="I43" s="4" t="str">
        <x:v>4 (dev) / 6 (test)</x:v>
      </x:c>
      <x:c r="J43" s="4" t="str">
        <x:v>Accuracy</x:v>
      </x:c>
      <x:c r="K43" s="4" t="n">
        <x:v>355</x:v>
      </x:c>
      <x:c r="L43" s="4" t="str">
        <x:v>无</x:v>
      </x:c>
      <x:c r="M43" s="4" t="str">
        <x:v>unresolved</x:v>
      </x:c>
      <x:c r="N43" s="4" t="str">
        <x:v>unresolved</x:v>
      </x:c>
      <x:c r="O43" s="4" t="str">
        <x:v>unresolved</x:v>
      </x:c>
      <x:c r="P43" s="4" t="str">
        <x:v>unresolved</x:v>
      </x:c>
      <x:c r="Q43" s="4" t="str">
        <x:v>unresolved</x:v>
      </x:c>
      <x:c r="R43" s="4" t="str">
        <x:v>G16</x:v>
      </x:c>
      <x:c r="S43" s="4" t="str">
        <x:v>P10</x:v>
      </x:c>
      <x:c r="T43" s="4" t="n">
        <x:v>1</x:v>
      </x:c>
      <x:c r="U43" s="4" t="str">
        <x:v>唯一P候选</x:v>
      </x:c>
      <x:c r="V43" s="4" t="str">
        <x:v>P10</x:v>
      </x:c>
      <x:c r="W43" s="4" t="str">
        <x:v>B1</x:v>
      </x:c>
      <x:c r="X43" s="4" t="str">
        <x:v>—</x:v>
      </x:c>
      <x:c r="Y43" s="4" t="str">
        <x:v>R5</x:v>
      </x:c>
      <x:c r="Z43" s="4" t="str">
        <x:v>R5</x:v>
      </x:c>
      <x:c r="AA43" s="4" t="str">
        <x:v>原条件原样继承，未独立验证split/样本量/预算有效性；执行先检查可用模态、query_time和官方评分协议</x:v>
      </x:c>
      <x:c r="AB43" s="4" t="str">
        <x:v>概括全片游戏主要目标/类型；不是见到任意局部动作即结束。</x:v>
      </x:c>
    </x:row>
    <x:row r="44" ht="52" customHeight="1">
      <x:c r="A44" s="4" t="str">
        <x:v>src.mlvu.vs.c01</x:v>
      </x:c>
      <x:c r="B44" s="4" t="str">
        <x:v>src.mlvu.vs</x:v>
      </x:c>
      <x:c r="C44" s="4" t="str">
        <x:v>MLVU</x:v>
      </x:c>
      <x:c r="D44" s="4" t="str">
        <x:v>Video Summarization</x:v>
      </x:c>
      <x:c r="E44" s="4" t="str">
        <x:v>VS</x:v>
      </x:c>
      <x:c r="F44" s="4" t="str">
        <x:v>dev+test</x:v>
      </x:c>
      <x:c r="G44" s="4" t="str">
        <x:v>video_only</x:v>
      </x:c>
      <x:c r="H44" s="4" t="str">
        <x:v>开放文本</x:v>
      </x:c>
      <x:c r="I44" s="4" t="str">
        <x:v>0</x:v>
      </x:c>
      <x:c r="J44" s="4" t="str">
        <x:v>GPT-4 Judge: Completeness+Reliability</x:v>
      </x:c>
      <x:c r="K44" s="4" t="n">
        <x:v>257</x:v>
      </x:c>
      <x:c r="L44" s="4" t="str">
        <x:v>无</x:v>
      </x:c>
      <x:c r="M44" s="4" t="str">
        <x:v>unresolved</x:v>
      </x:c>
      <x:c r="N44" s="4" t="str">
        <x:v>unresolved</x:v>
      </x:c>
      <x:c r="O44" s="4" t="str">
        <x:v>unresolved</x:v>
      </x:c>
      <x:c r="P44" s="4" t="str">
        <x:v>unresolved</x:v>
      </x:c>
      <x:c r="Q44" s="4" t="str">
        <x:v>unresolved</x:v>
      </x:c>
      <x:c r="R44" s="4" t="str">
        <x:v>G38</x:v>
      </x:c>
      <x:c r="S44" s="4" t="str">
        <x:v>P10</x:v>
      </x:c>
      <x:c r="T44" s="4" t="n">
        <x:v>1</x:v>
      </x:c>
      <x:c r="U44" s="4" t="str">
        <x:v>唯一P候选</x:v>
      </x:c>
      <x:c r="V44" s="4" t="str">
        <x:v>P10</x:v>
      </x:c>
      <x:c r="W44" s="4" t="str">
        <x:v>B3</x:v>
      </x:c>
      <x:c r="X44" s="4" t="str">
        <x:v>—</x:v>
      </x:c>
      <x:c r="Y44" s="4" t="str">
        <x:v>R5</x:v>
      </x:c>
      <x:c r="Z44" s="4" t="str">
        <x:v>R5</x:v>
      </x:c>
      <x:c r="AA44" s="4" t="str">
        <x:v>原条件原样继承，未独立验证split/样本量/预算有效性；执行先检查可用模态、query_time和官方评分协议</x:v>
      </x:c>
      <x:c r="AB44" s="4" t="str">
        <x:v>分段保留关键事件后综合摘要；保留官方生成评估。</x:v>
      </x:c>
    </x:row>
    <x:row r="45" ht="52" customHeight="1">
      <x:c r="A45" s="4" t="str">
        <x:v>src.mvbench.action_antonym.c01</x:v>
      </x:c>
      <x:c r="B45" s="4" t="str">
        <x:v>src.mvbench.action_antonym</x:v>
      </x:c>
      <x:c r="C45" s="4" t="str">
        <x:v>MVBench</x:v>
      </x:c>
      <x:c r="D45" s="4" t="str">
        <x:v>Action Antonym</x:v>
      </x:c>
      <x:c r="E45" s="4" t="str">
        <x:v>—</x:v>
      </x:c>
      <x:c r="F45" s="4" t="str">
        <x:v>benchmark/full</x:v>
      </x:c>
      <x:c r="G45" s="4" t="str">
        <x:v>video_only</x:v>
      </x:c>
      <x:c r="H45" s="4" t="str">
        <x:v>K选1</x:v>
      </x:c>
      <x:c r="I45" s="4" t="str">
        <x:v>3</x:v>
      </x:c>
      <x:c r="J45" s="4" t="str">
        <x:v>Accuracy</x:v>
      </x:c>
      <x:c r="K45" s="4" t="n">
        <x:v>200</x:v>
      </x:c>
      <x:c r="L45" s="4" t="str">
        <x:v>无</x:v>
      </x:c>
      <x:c r="M45" s="4" t="str">
        <x:v>unresolved</x:v>
      </x:c>
      <x:c r="N45" s="4" t="str">
        <x:v>unresolved</x:v>
      </x:c>
      <x:c r="O45" s="4" t="str">
        <x:v>unresolved</x:v>
      </x:c>
      <x:c r="P45" s="4" t="str">
        <x:v>unresolved</x:v>
      </x:c>
      <x:c r="Q45" s="4" t="str">
        <x:v>unresolved</x:v>
      </x:c>
      <x:c r="R45" s="4" t="str">
        <x:v>G01</x:v>
      </x:c>
      <x:c r="S45" s="4" t="str">
        <x:v>P01</x:v>
      </x:c>
      <x:c r="T45" s="4" t="n">
        <x:v>1</x:v>
      </x:c>
      <x:c r="U45" s="4" t="str">
        <x:v>唯一P候选</x:v>
      </x:c>
      <x:c r="V45" s="4" t="str">
        <x:v>P01</x:v>
      </x:c>
      <x:c r="W45" s="4" t="str">
        <x:v>B1</x:v>
      </x:c>
      <x:c r="X45" s="4" t="str">
        <x:v>—</x:v>
      </x:c>
      <x:c r="Y45" s="4" t="str">
        <x:v>R2</x:v>
      </x:c>
      <x:c r="Z45" s="4" t="str">
        <x:v>R2</x:v>
      </x:c>
      <x:c r="AA45" s="4" t="str">
        <x:v>原条件原样继承，未独立验证split/样本量/预算有效性；执行先检查可用模态、query_time和官方评分协议</x:v>
      </x:c>
      <x:c r="AB45" s="4" t="str">
        <x:v>逆序动作辨别需要有序多帧；局部时间范围不意味着单帧取证。</x:v>
      </x:c>
    </x:row>
    <x:row r="46" ht="52" customHeight="1">
      <x:c r="A46" s="4" t="str">
        <x:v>src.mvbench.action_count.c01</x:v>
      </x:c>
      <x:c r="B46" s="4" t="str">
        <x:v>src.mvbench.action_count</x:v>
      </x:c>
      <x:c r="C46" s="4" t="str">
        <x:v>MVBench</x:v>
      </x:c>
      <x:c r="D46" s="4" t="str">
        <x:v>Action Count</x:v>
      </x:c>
      <x:c r="E46" s="4" t="str">
        <x:v>—</x:v>
      </x:c>
      <x:c r="F46" s="4" t="str">
        <x:v>benchmark/full</x:v>
      </x:c>
      <x:c r="G46" s="4" t="str">
        <x:v>video_only</x:v>
      </x:c>
      <x:c r="H46" s="4" t="str">
        <x:v>K选1</x:v>
      </x:c>
      <x:c r="I46" s="4" t="str">
        <x:v>3</x:v>
      </x:c>
      <x:c r="J46" s="4" t="str">
        <x:v>Accuracy</x:v>
      </x:c>
      <x:c r="K46" s="4" t="n">
        <x:v>200</x:v>
      </x:c>
      <x:c r="L46" s="4" t="str">
        <x:v>无</x:v>
      </x:c>
      <x:c r="M46" s="4" t="str">
        <x:v>unresolved</x:v>
      </x:c>
      <x:c r="N46" s="4" t="str">
        <x:v>unresolved</x:v>
      </x:c>
      <x:c r="O46" s="4" t="str">
        <x:v>unresolved</x:v>
      </x:c>
      <x:c r="P46" s="4" t="str">
        <x:v>unresolved</x:v>
      </x:c>
      <x:c r="Q46" s="4" t="str">
        <x:v>unresolved</x:v>
      </x:c>
      <x:c r="R46" s="4" t="str">
        <x:v>G21</x:v>
      </x:c>
      <x:c r="S46" s="4" t="str">
        <x:v>P05</x:v>
      </x:c>
      <x:c r="T46" s="4" t="n">
        <x:v>1</x:v>
      </x:c>
      <x:c r="U46" s="4" t="str">
        <x:v>唯一P候选</x:v>
      </x:c>
      <x:c r="V46" s="4" t="str">
        <x:v>P05</x:v>
      </x:c>
      <x:c r="W46" s="4" t="str">
        <x:v>B1</x:v>
      </x:c>
      <x:c r="X46" s="4" t="str">
        <x:v>P05扫描计划仍需显式预算</x:v>
      </x:c>
      <x:c r="Y46" s="4" t="str">
        <x:v>R3</x:v>
      </x:c>
      <x:c r="Z46" s="4" t="str">
        <x:v>R3</x:v>
      </x:c>
      <x:c r="AA46" s="4" t="str">
        <x:v>原条件原样继承，未独立验证split/样本量/预算有效性；执行先检查可用模态、query_time和官方评分协议</x:v>
      </x:c>
      <x:c r="AB46" s="4" t="str">
        <x:v>计数目标动作的发生次数；不是动作种类数。</x:v>
      </x:c>
    </x:row>
    <x:row r="47" ht="52" customHeight="1">
      <x:c r="A47" s="4" t="str">
        <x:v>src.mvbench.action_localization.c01</x:v>
      </x:c>
      <x:c r="B47" s="4" t="str">
        <x:v>src.mvbench.action_localization</x:v>
      </x:c>
      <x:c r="C47" s="4" t="str">
        <x:v>MVBench</x:v>
      </x:c>
      <x:c r="D47" s="4" t="str">
        <x:v>Action Localization</x:v>
      </x:c>
      <x:c r="E47" s="4" t="str">
        <x:v>—</x:v>
      </x:c>
      <x:c r="F47" s="4" t="str">
        <x:v>benchmark/full</x:v>
      </x:c>
      <x:c r="G47" s="4" t="str">
        <x:v>video_only</x:v>
      </x:c>
      <x:c r="H47" s="4" t="str">
        <x:v>K选1</x:v>
      </x:c>
      <x:c r="I47" s="4" t="str">
        <x:v>4</x:v>
      </x:c>
      <x:c r="J47" s="4" t="str">
        <x:v>Accuracy</x:v>
      </x:c>
      <x:c r="K47" s="4" t="n">
        <x:v>200</x:v>
      </x:c>
      <x:c r="L47" s="4" t="str">
        <x:v>无</x:v>
      </x:c>
      <x:c r="M47" s="4" t="str">
        <x:v>unresolved</x:v>
      </x:c>
      <x:c r="N47" s="4" t="str">
        <x:v>unresolved</x:v>
      </x:c>
      <x:c r="O47" s="4" t="str">
        <x:v>unresolved</x:v>
      </x:c>
      <x:c r="P47" s="4" t="str">
        <x:v>unresolved</x:v>
      </x:c>
      <x:c r="Q47" s="4" t="str">
        <x:v>unresolved</x:v>
      </x:c>
      <x:c r="R47" s="4" t="str">
        <x:v>G12</x:v>
      </x:c>
      <x:c r="S47" s="4" t="str">
        <x:v>P07</x:v>
      </x:c>
      <x:c r="T47" s="4" t="n">
        <x:v>1</x:v>
      </x:c>
      <x:c r="U47" s="4" t="str">
        <x:v>唯一P候选</x:v>
      </x:c>
      <x:c r="V47" s="4" t="str">
        <x:v>P07</x:v>
      </x:c>
      <x:c r="W47" s="4" t="str">
        <x:v>B1</x:v>
      </x:c>
      <x:c r="X47" s="4" t="str">
        <x:v>—</x:v>
      </x:c>
      <x:c r="Y47" s="4" t="str">
        <x:v>R3</x:v>
      </x:c>
      <x:c r="Z47" s="4" t="str">
        <x:v>R3</x:v>
      </x:c>
      <x:c r="AA47" s="4" t="str">
        <x:v>原条件原样继承，未独立验证split/样本量/预算有效性；执行先检查可用模态、query_time和官方评分协议</x:v>
      </x:c>
      <x:c r="AB47" s="4" t="str">
        <x:v>问动作发生在视频哪一段；需定位区间再映射选项。</x:v>
      </x:c>
    </x:row>
    <x:row r="48" ht="52" customHeight="1">
      <x:c r="A48" s="4" t="str">
        <x:v>src.mvbench.action_prediction.c01</x:v>
      </x:c>
      <x:c r="B48" s="4" t="str">
        <x:v>src.mvbench.action_prediction</x:v>
      </x:c>
      <x:c r="C48" s="4" t="str">
        <x:v>MVBench</x:v>
      </x:c>
      <x:c r="D48" s="4" t="str">
        <x:v>Action Prediction</x:v>
      </x:c>
      <x:c r="E48" s="4" t="str">
        <x:v>—</x:v>
      </x:c>
      <x:c r="F48" s="4" t="str">
        <x:v>benchmark/full</x:v>
      </x:c>
      <x:c r="G48" s="4" t="str">
        <x:v>video_only</x:v>
      </x:c>
      <x:c r="H48" s="4" t="str">
        <x:v>K选1</x:v>
      </x:c>
      <x:c r="I48" s="4" t="str">
        <x:v>4</x:v>
      </x:c>
      <x:c r="J48" s="4" t="str">
        <x:v>Accuracy</x:v>
      </x:c>
      <x:c r="K48" s="4" t="n">
        <x:v>200</x:v>
      </x:c>
      <x:c r="L48" s="4" t="str">
        <x:v>无</x:v>
      </x:c>
      <x:c r="M48" s="4" t="str">
        <x:v>unresolved</x:v>
      </x:c>
      <x:c r="N48" s="4" t="str">
        <x:v>unresolved</x:v>
      </x:c>
      <x:c r="O48" s="4" t="str">
        <x:v>unresolved</x:v>
      </x:c>
      <x:c r="P48" s="4" t="str">
        <x:v>unresolved</x:v>
      </x:c>
      <x:c r="Q48" s="4" t="str">
        <x:v>unresolved</x:v>
      </x:c>
      <x:c r="R48" s="4" t="str">
        <x:v>G18</x:v>
      </x:c>
      <x:c r="S48" s="4" t="str">
        <x:v>P12</x:v>
      </x:c>
      <x:c r="T48" s="4" t="n">
        <x:v>1</x:v>
      </x:c>
      <x:c r="U48" s="4" t="str">
        <x:v>唯一P候选</x:v>
      </x:c>
      <x:c r="V48" s="4" t="str">
        <x:v>P12</x:v>
      </x:c>
      <x:c r="W48" s="4" t="str">
        <x:v>B1</x:v>
      </x:c>
      <x:c r="X48" s="4" t="str">
        <x:v>—</x:v>
      </x:c>
      <x:c r="Y48" s="4" t="str">
        <x:v>R7</x:v>
      </x:c>
      <x:c r="Z48" s="4" t="str">
        <x:v>R7</x:v>
      </x:c>
      <x:c r="AA48" s="4" t="str">
        <x:v>原条件原样继承，未独立验证split/样本量/预算有效性；执行先检查可用模态、query_time和官方评分协议</x:v>
      </x:c>
      <x:c r="AB48" s="4" t="str">
        <x:v>预测未观察动作；仅用提供的观察片段，不读后续真值。</x:v>
      </x:c>
    </x:row>
    <x:row r="49" ht="52" customHeight="1">
      <x:c r="A49" s="4" t="str">
        <x:v>src.mvbench.action_sequence.c01</x:v>
      </x:c>
      <x:c r="B49" s="4" t="str">
        <x:v>src.mvbench.action_sequence</x:v>
      </x:c>
      <x:c r="C49" s="4" t="str">
        <x:v>MVBench</x:v>
      </x:c>
      <x:c r="D49" s="4" t="str">
        <x:v>Action Sequence</x:v>
      </x:c>
      <x:c r="E49" s="4" t="str">
        <x:v>—</x:v>
      </x:c>
      <x:c r="F49" s="4" t="str">
        <x:v>benchmark/full</x:v>
      </x:c>
      <x:c r="G49" s="4" t="str">
        <x:v>video_only</x:v>
      </x:c>
      <x:c r="H49" s="4" t="str">
        <x:v>K选1</x:v>
      </x:c>
      <x:c r="I49" s="4" t="str">
        <x:v>4</x:v>
      </x:c>
      <x:c r="J49" s="4" t="str">
        <x:v>Accuracy</x:v>
      </x:c>
      <x:c r="K49" s="4" t="n">
        <x:v>200</x:v>
      </x:c>
      <x:c r="L49" s="4" t="str">
        <x:v>无</x:v>
      </x:c>
      <x:c r="M49" s="4" t="str">
        <x:v>unresolved</x:v>
      </x:c>
      <x:c r="N49" s="4" t="str">
        <x:v>unresolved</x:v>
      </x:c>
      <x:c r="O49" s="4" t="str">
        <x:v>unresolved</x:v>
      </x:c>
      <x:c r="P49" s="4" t="str">
        <x:v>unresolved</x:v>
      </x:c>
      <x:c r="Q49" s="4" t="str">
        <x:v>unresolved</x:v>
      </x:c>
      <x:c r="R49" s="4" t="str">
        <x:v>G10</x:v>
      </x:c>
      <x:c r="S49" s="4" t="str">
        <x:v>P06</x:v>
      </x:c>
      <x:c r="T49" s="4" t="n">
        <x:v>1</x:v>
      </x:c>
      <x:c r="U49" s="4" t="str">
        <x:v>唯一P候选</x:v>
      </x:c>
      <x:c r="V49" s="4" t="str">
        <x:v>P06</x:v>
      </x:c>
      <x:c r="W49" s="4" t="str">
        <x:v>B1</x:v>
      </x:c>
      <x:c r="X49" s="4" t="str">
        <x:v>—</x:v>
      </x:c>
      <x:c r="Y49" s="4" t="str">
        <x:v>R3</x:v>
      </x:c>
      <x:c r="Z49" s="4" t="str">
        <x:v>R1 | R3</x:v>
      </x:c>
      <x:c r="AA49" s="4" t="str">
        <x:v>原条件原样继承，未独立验证split/样本量/预算有效性；执行先检查可用模态、query_time和官方评分协议</x:v>
      </x:c>
      <x:c r="AB49" s="4" t="str">
        <x:v>先找取食物锚点，再查询后继事件。</x:v>
      </x:c>
    </x:row>
    <x:row r="50" ht="52" customHeight="1">
      <x:c r="A50" s="4" t="str">
        <x:v>src.mvbench.character_order.c01</x:v>
      </x:c>
      <x:c r="B50" s="4" t="str">
        <x:v>src.mvbench.character_order</x:v>
      </x:c>
      <x:c r="C50" s="4" t="str">
        <x:v>MVBench</x:v>
      </x:c>
      <x:c r="D50" s="4" t="str">
        <x:v>Character Order</x:v>
      </x:c>
      <x:c r="E50" s="4" t="str">
        <x:v>—</x:v>
      </x:c>
      <x:c r="F50" s="4" t="str">
        <x:v>benchmark/full</x:v>
      </x:c>
      <x:c r="G50" s="4" t="str">
        <x:v>video_only</x:v>
      </x:c>
      <x:c r="H50" s="4" t="str">
        <x:v>K选1</x:v>
      </x:c>
      <x:c r="I50" s="4" t="str">
        <x:v>3</x:v>
      </x:c>
      <x:c r="J50" s="4" t="str">
        <x:v>Accuracy</x:v>
      </x:c>
      <x:c r="K50" s="4" t="n">
        <x:v>200</x:v>
      </x:c>
      <x:c r="L50" s="4" t="str">
        <x:v>无</x:v>
      </x:c>
      <x:c r="M50" s="4" t="str">
        <x:v>unresolved</x:v>
      </x:c>
      <x:c r="N50" s="4" t="str">
        <x:v>unresolved</x:v>
      </x:c>
      <x:c r="O50" s="4" t="str">
        <x:v>unresolved</x:v>
      </x:c>
      <x:c r="P50" s="4" t="str">
        <x:v>unresolved</x:v>
      </x:c>
      <x:c r="Q50" s="4" t="str">
        <x:v>unresolved</x:v>
      </x:c>
      <x:c r="R50" s="4" t="str">
        <x:v>G11</x:v>
      </x:c>
      <x:c r="S50" s="4" t="str">
        <x:v>P07</x:v>
      </x:c>
      <x:c r="T50" s="4" t="n">
        <x:v>1</x:v>
      </x:c>
      <x:c r="U50" s="4" t="str">
        <x:v>唯一P候选</x:v>
      </x:c>
      <x:c r="V50" s="4" t="str">
        <x:v>P07</x:v>
      </x:c>
      <x:c r="W50" s="4" t="str">
        <x:v>B1</x:v>
      </x:c>
      <x:c r="X50" s="4" t="str">
        <x:v>—</x:v>
      </x:c>
      <x:c r="Y50" s="4" t="str">
        <x:v>R3</x:v>
      </x:c>
      <x:c r="Z50" s="4" t="str">
        <x:v>R3</x:v>
      </x:c>
      <x:c r="AA50" s="4" t="str">
        <x:v>原条件原样继承，未独立验证split/样本量/预算有效性；执行先检查可用模态、query_time和官方评分协议</x:v>
      </x:c>
      <x:c r="AB50" s="4" t="str">
        <x:v>OCR是感知组件；first按字母首次写出时间排序。</x:v>
      </x:c>
    </x:row>
    <x:row r="51" ht="52" customHeight="1">
      <x:c r="A51" s="4" t="str">
        <x:v>src.mvbench.counterfactual_inference.c01</x:v>
      </x:c>
      <x:c r="B51" s="4" t="str">
        <x:v>src.mvbench.counterfactual_inference</x:v>
      </x:c>
      <x:c r="C51" s="4" t="str">
        <x:v>MVBench</x:v>
      </x:c>
      <x:c r="D51" s="4" t="str">
        <x:v>Counterfactual Inference</x:v>
      </x:c>
      <x:c r="E51" s="4" t="str">
        <x:v>—</x:v>
      </x:c>
      <x:c r="F51" s="4" t="str">
        <x:v>benchmark/full</x:v>
      </x:c>
      <x:c r="G51" s="4" t="str">
        <x:v>video_only</x:v>
      </x:c>
      <x:c r="H51" s="4" t="str">
        <x:v>K选1</x:v>
      </x:c>
      <x:c r="I51" s="4" t="str">
        <x:v>4</x:v>
      </x:c>
      <x:c r="J51" s="4" t="str">
        <x:v>Accuracy</x:v>
      </x:c>
      <x:c r="K51" s="4" t="n">
        <x:v>200</x:v>
      </x:c>
      <x:c r="L51" s="4" t="str">
        <x:v>无</x:v>
      </x:c>
      <x:c r="M51" s="4" t="str">
        <x:v>unresolved</x:v>
      </x:c>
      <x:c r="N51" s="4" t="str">
        <x:v>unresolved</x:v>
      </x:c>
      <x:c r="O51" s="4" t="str">
        <x:v>unresolved</x:v>
      </x:c>
      <x:c r="P51" s="4" t="str">
        <x:v>unresolved</x:v>
      </x:c>
      <x:c r="Q51" s="4" t="str">
        <x:v>unresolved</x:v>
      </x:c>
      <x:c r="R51" s="4" t="str">
        <x:v>G19</x:v>
      </x:c>
      <x:c r="S51" s="4" t="str">
        <x:v>P12</x:v>
      </x:c>
      <x:c r="T51" s="4" t="n">
        <x:v>1</x:v>
      </x:c>
      <x:c r="U51" s="4" t="str">
        <x:v>唯一P候选</x:v>
      </x:c>
      <x:c r="V51" s="4" t="str">
        <x:v>P12</x:v>
      </x:c>
      <x:c r="W51" s="4" t="str">
        <x:v>B1</x:v>
      </x:c>
      <x:c r="X51" s="4" t="str">
        <x:v>—</x:v>
      </x:c>
      <x:c r="Y51" s="4" t="str">
        <x:v>R7</x:v>
      </x:c>
      <x:c r="Z51" s="4" t="str">
        <x:v>R7</x:v>
      </x:c>
      <x:c r="AA51" s="4" t="str">
        <x:v>原条件原样继承，未独立验证split/样本量/预算有效性；执行先检查可用模态、query_time和官方评分协议</x:v>
      </x:c>
      <x:c r="AB51" s="4" t="str">
        <x:v>删除圆柱后推演碰撞；分离实际观测与反事实轨迹。</x:v>
      </x:c>
    </x:row>
    <x:row r="52" ht="52" customHeight="1">
      <x:c r="A52" s="4" t="str">
        <x:v>src.mvbench.egocentric_navigation.c01</x:v>
      </x:c>
      <x:c r="B52" s="4" t="str">
        <x:v>src.mvbench.egocentric_navigation</x:v>
      </x:c>
      <x:c r="C52" s="4" t="str">
        <x:v>MVBench</x:v>
      </x:c>
      <x:c r="D52" s="4" t="str">
        <x:v>Egocentric Navigation</x:v>
      </x:c>
      <x:c r="E52" s="4" t="str">
        <x:v>—</x:v>
      </x:c>
      <x:c r="F52" s="4" t="str">
        <x:v>benchmark/full</x:v>
      </x:c>
      <x:c r="G52" s="4" t="str">
        <x:v>video_only</x:v>
      </x:c>
      <x:c r="H52" s="4" t="str">
        <x:v>K选1</x:v>
      </x:c>
      <x:c r="I52" s="4" t="str">
        <x:v>4</x:v>
      </x:c>
      <x:c r="J52" s="4" t="str">
        <x:v>Accuracy</x:v>
      </x:c>
      <x:c r="K52" s="4" t="n">
        <x:v>200</x:v>
      </x:c>
      <x:c r="L52" s="4" t="str">
        <x:v>无</x:v>
      </x:c>
      <x:c r="M52" s="4" t="str">
        <x:v>unresolved</x:v>
      </x:c>
      <x:c r="N52" s="4" t="str">
        <x:v>unresolved</x:v>
      </x:c>
      <x:c r="O52" s="4" t="str">
        <x:v>unresolved</x:v>
      </x:c>
      <x:c r="P52" s="4" t="str">
        <x:v>unresolved</x:v>
      </x:c>
      <x:c r="Q52" s="4" t="str">
        <x:v>unresolved</x:v>
      </x:c>
      <x:c r="R52" s="4" t="str">
        <x:v>G30</x:v>
      </x:c>
      <x:c r="S52" s="4" t="str">
        <x:v>P19</x:v>
      </x:c>
      <x:c r="T52" s="4" t="n">
        <x:v>1</x:v>
      </x:c>
      <x:c r="U52" s="4" t="str">
        <x:v>唯一P候选</x:v>
      </x:c>
      <x:c r="V52" s="4" t="str">
        <x:v>P19</x:v>
      </x:c>
      <x:c r="W52" s="4" t="str">
        <x:v>B1</x:v>
      </x:c>
      <x:c r="X52" s="4" t="str">
        <x:v>—</x:v>
      </x:c>
      <x:c r="Y52" s="4" t="str">
        <x:v>R9</x:v>
      </x:c>
      <x:c r="Z52" s="4" t="str">
        <x:v>R9</x:v>
      </x:c>
      <x:c r="AA52" s="4" t="str">
        <x:v>原条件原样继承，未独立验证split/样本量/预算有效性；执行先检查可用模态、query_time和官方评分协议</x:v>
      </x:c>
      <x:c r="AB52" s="4" t="str">
        <x:v>根据指令和当前朝向判断下一步导航动作；不一定求全局最短路。</x:v>
      </x:c>
    </x:row>
    <x:row r="53" ht="52" customHeight="1">
      <x:c r="A53" s="4" t="str">
        <x:v>src.mvbench.episodic_reasoning.c01</x:v>
      </x:c>
      <x:c r="B53" s="4" t="str">
        <x:v>src.mvbench.episodic_reasoning</x:v>
      </x:c>
      <x:c r="C53" s="4" t="str">
        <x:v>MVBench</x:v>
      </x:c>
      <x:c r="D53" s="4" t="str">
        <x:v>Episodic Reasoning</x:v>
      </x:c>
      <x:c r="E53" s="4" t="str">
        <x:v>—</x:v>
      </x:c>
      <x:c r="F53" s="4" t="str">
        <x:v>benchmark/full</x:v>
      </x:c>
      <x:c r="G53" s="4" t="str">
        <x:v>video_only</x:v>
      </x:c>
      <x:c r="H53" s="4" t="str">
        <x:v>K选1</x:v>
      </x:c>
      <x:c r="I53" s="4" t="str">
        <x:v>5</x:v>
      </x:c>
      <x:c r="J53" s="4" t="str">
        <x:v>Accuracy</x:v>
      </x:c>
      <x:c r="K53" s="4" t="n">
        <x:v>200</x:v>
      </x:c>
      <x:c r="L53" s="4" t="str">
        <x:v>无</x:v>
      </x:c>
      <x:c r="M53" s="4" t="str">
        <x:v>unresolved</x:v>
      </x:c>
      <x:c r="N53" s="4" t="str">
        <x:v>unresolved</x:v>
      </x:c>
      <x:c r="O53" s="4" t="str">
        <x:v>unresolved</x:v>
      </x:c>
      <x:c r="P53" s="4" t="str">
        <x:v>unresolved</x:v>
      </x:c>
      <x:c r="Q53" s="4" t="str">
        <x:v>unresolved</x:v>
      </x:c>
      <x:c r="R53" s="4" t="str">
        <x:v>G17 | G31</x:v>
      </x:c>
      <x:c r="S53" s="4" t="str">
        <x:v>P11</x:v>
      </x:c>
      <x:c r="T53" s="4" t="n">
        <x:v>1</x:v>
      </x:c>
      <x:c r="U53" s="4" t="str">
        <x:v>唯一P候选</x:v>
      </x:c>
      <x:c r="V53" s="4" t="str">
        <x:v>P11</x:v>
      </x:c>
      <x:c r="W53" s="4" t="str">
        <x:v>B1</x:v>
      </x:c>
      <x:c r="X53" s="4" t="str">
        <x:v>—</x:v>
      </x:c>
      <x:c r="Y53" s="4" t="str">
        <x:v>R6</x:v>
      </x:c>
      <x:c r="Z53" s="4" t="str">
        <x:v>R1 | R6</x:v>
      </x:c>
      <x:c r="AA53" s="4" t="str">
        <x:v>原条件原样继承，未独立验证split/样本量/预算有效性；执行先检查可用模态、query_time和官方评分协议</x:v>
      </x:c>
      <x:c r="AB53" s="4" t="str">
        <x:v>围绕剧中原因/人物关系推断；直接台词解释可退化R1。</x:v>
      </x:c>
    </x:row>
    <x:row r="54" ht="52" customHeight="1">
      <x:c r="A54" s="4" t="str">
        <x:v>src.mvbench.fine_grained_action.c01</x:v>
      </x:c>
      <x:c r="B54" s="4" t="str">
        <x:v>src.mvbench.fine_grained_action</x:v>
      </x:c>
      <x:c r="C54" s="4" t="str">
        <x:v>MVBench</x:v>
      </x:c>
      <x:c r="D54" s="4" t="str">
        <x:v>Fine-grained Action</x:v>
      </x:c>
      <x:c r="E54" s="4" t="str">
        <x:v>—</x:v>
      </x:c>
      <x:c r="F54" s="4" t="str">
        <x:v>benchmark/full</x:v>
      </x:c>
      <x:c r="G54" s="4" t="str">
        <x:v>video_only</x:v>
      </x:c>
      <x:c r="H54" s="4" t="str">
        <x:v>K选1</x:v>
      </x:c>
      <x:c r="I54" s="4" t="str">
        <x:v>4</x:v>
      </x:c>
      <x:c r="J54" s="4" t="str">
        <x:v>Accuracy</x:v>
      </x:c>
      <x:c r="K54" s="4" t="n">
        <x:v>200</x:v>
      </x:c>
      <x:c r="L54" s="4" t="str">
        <x:v>无</x:v>
      </x:c>
      <x:c r="M54" s="4" t="str">
        <x:v>unresolved</x:v>
      </x:c>
      <x:c r="N54" s="4" t="str">
        <x:v>unresolved</x:v>
      </x:c>
      <x:c r="O54" s="4" t="str">
        <x:v>unresolved</x:v>
      </x:c>
      <x:c r="P54" s="4" t="str">
        <x:v>unresolved</x:v>
      </x:c>
      <x:c r="Q54" s="4" t="str">
        <x:v>unresolved</x:v>
      </x:c>
      <x:c r="R54" s="4" t="str">
        <x:v>G01</x:v>
      </x:c>
      <x:c r="S54" s="4" t="str">
        <x:v>P01</x:v>
      </x:c>
      <x:c r="T54" s="4" t="n">
        <x:v>1</x:v>
      </x:c>
      <x:c r="U54" s="4" t="str">
        <x:v>唯一P候选</x:v>
      </x:c>
      <x:c r="V54" s="4" t="str">
        <x:v>P01</x:v>
      </x:c>
      <x:c r="W54" s="4" t="str">
        <x:v>B1</x:v>
      </x:c>
      <x:c r="X54" s="4" t="str">
        <x:v>—</x:v>
      </x:c>
      <x:c r="Y54" s="4" t="str">
        <x:v>R2</x:v>
      </x:c>
      <x:c r="Z54" s="4" t="str">
        <x:v>R1 | R2</x:v>
      </x:c>
      <x:c r="AA54" s="4" t="str">
        <x:v>原条件原样继承，未独立验证split/样本量/预算有效性；执行先检查可用模态、query_time和官方评分协议</x:v>
      </x:c>
      <x:c r="AB54" s="4" t="str">
        <x:v>设计上比较相似动作的动态细节；静态可判子类可R1，但不利用文字偏置代替视频。</x:v>
      </x:c>
    </x:row>
    <x:row r="55" ht="52" customHeight="1">
      <x:c r="A55" s="4" t="str">
        <x:v>src.mvbench.fine_grained_pose.c01</x:v>
      </x:c>
      <x:c r="B55" s="4" t="str">
        <x:v>src.mvbench.fine_grained_pose</x:v>
      </x:c>
      <x:c r="C55" s="4" t="str">
        <x:v>MVBench</x:v>
      </x:c>
      <x:c r="D55" s="4" t="str">
        <x:v>Fine-grained Pose</x:v>
      </x:c>
      <x:c r="E55" s="4" t="str">
        <x:v>—</x:v>
      </x:c>
      <x:c r="F55" s="4" t="str">
        <x:v>benchmark/full</x:v>
      </x:c>
      <x:c r="G55" s="4" t="str">
        <x:v>video_only</x:v>
      </x:c>
      <x:c r="H55" s="4" t="str">
        <x:v>K选1</x:v>
      </x:c>
      <x:c r="I55" s="4" t="str">
        <x:v>4</x:v>
      </x:c>
      <x:c r="J55" s="4" t="str">
        <x:v>Accuracy</x:v>
      </x:c>
      <x:c r="K55" s="4" t="n">
        <x:v>200</x:v>
      </x:c>
      <x:c r="L55" s="4" t="str">
        <x:v>无</x:v>
      </x:c>
      <x:c r="M55" s="4" t="str">
        <x:v>unresolved</x:v>
      </x:c>
      <x:c r="N55" s="4" t="str">
        <x:v>unresolved</x:v>
      </x:c>
      <x:c r="O55" s="4" t="str">
        <x:v>unresolved</x:v>
      </x:c>
      <x:c r="P55" s="4" t="str">
        <x:v>unresolved</x:v>
      </x:c>
      <x:c r="Q55" s="4" t="str">
        <x:v>unresolved</x:v>
      </x:c>
      <x:c r="R55" s="4" t="str">
        <x:v>G01</x:v>
      </x:c>
      <x:c r="S55" s="4" t="str">
        <x:v>P01</x:v>
      </x:c>
      <x:c r="T55" s="4" t="n">
        <x:v>1</x:v>
      </x:c>
      <x:c r="U55" s="4" t="str">
        <x:v>唯一P候选</x:v>
      </x:c>
      <x:c r="V55" s="4" t="str">
        <x:v>P01</x:v>
      </x:c>
      <x:c r="W55" s="4" t="str">
        <x:v>B1</x:v>
      </x:c>
      <x:c r="X55" s="4" t="str">
        <x:v>—</x:v>
      </x:c>
      <x:c r="Y55" s="4" t="str">
        <x:v>R2</x:v>
      </x:c>
      <x:c r="Z55" s="4" t="str">
        <x:v>R1 | R2</x:v>
      </x:c>
      <x:c r="AA55" s="4" t="str">
        <x:v>原条件原样继承，未独立验证split/样本量/预算有效性；执行先检查可用模态、query_time和官方评分协议</x:v>
      </x:c>
      <x:c r="AB55" s="4" t="str">
        <x:v>表内选项包含pick up/sit down/drop/stand up，涉及转移；真正静态姿势读数可R1。</x:v>
      </x:c>
    </x:row>
    <x:row r="56" ht="52" customHeight="1">
      <x:c r="A56" s="4" t="str">
        <x:v>src.mvbench.moving_attribute.c01</x:v>
      </x:c>
      <x:c r="B56" s="4" t="str">
        <x:v>src.mvbench.moving_attribute</x:v>
      </x:c>
      <x:c r="C56" s="4" t="str">
        <x:v>MVBench</x:v>
      </x:c>
      <x:c r="D56" s="4" t="str">
        <x:v>Moving Attribute</x:v>
      </x:c>
      <x:c r="E56" s="4" t="str">
        <x:v>—</x:v>
      </x:c>
      <x:c r="F56" s="4" t="str">
        <x:v>benchmark/full</x:v>
      </x:c>
      <x:c r="G56" s="4" t="str">
        <x:v>video_only</x:v>
      </x:c>
      <x:c r="H56" s="4" t="str">
        <x:v>K选1</x:v>
      </x:c>
      <x:c r="I56" s="4" t="str">
        <x:v>3</x:v>
      </x:c>
      <x:c r="J56" s="4" t="str">
        <x:v>Accuracy</x:v>
      </x:c>
      <x:c r="K56" s="4" t="n">
        <x:v>200</x:v>
      </x:c>
      <x:c r="L56" s="4" t="str">
        <x:v>无</x:v>
      </x:c>
      <x:c r="M56" s="4" t="str">
        <x:v>unresolved</x:v>
      </x:c>
      <x:c r="N56" s="4" t="str">
        <x:v>unresolved</x:v>
      </x:c>
      <x:c r="O56" s="4" t="str">
        <x:v>unresolved</x:v>
      </x:c>
      <x:c r="P56" s="4" t="str">
        <x:v>unresolved</x:v>
      </x:c>
      <x:c r="Q56" s="4" t="str">
        <x:v>unresolved</x:v>
      </x:c>
      <x:c r="R56" s="4" t="str">
        <x:v>G01</x:v>
      </x:c>
      <x:c r="S56" s="4" t="str">
        <x:v>P01</x:v>
      </x:c>
      <x:c r="T56" s="4" t="n">
        <x:v>1</x:v>
      </x:c>
      <x:c r="U56" s="4" t="str">
        <x:v>唯一P候选</x:v>
      </x:c>
      <x:c r="V56" s="4" t="str">
        <x:v>P01</x:v>
      </x:c>
      <x:c r="W56" s="4" t="str">
        <x:v>B1</x:v>
      </x:c>
      <x:c r="X56" s="4" t="str">
        <x:v>—</x:v>
      </x:c>
      <x:c r="Y56" s="4" t="str">
        <x:v>R2</x:v>
      </x:c>
      <x:c r="Z56" s="4" t="str">
        <x:v>R1 | R2</x:v>
      </x:c>
      <x:c r="AA56" s="4" t="str">
        <x:v>原条件原样继承，未独立验证split/样本量/预算有效性；执行先检查可用模态、query_time和官方评分协议</x:v>
      </x:c>
      <x:c r="AB56" s="4" t="str">
        <x:v>先用邻帧确定moving目标，再读形状；不能只看首帧判断运动。</x:v>
      </x:c>
    </x:row>
    <x:row r="57" ht="52" customHeight="1">
      <x:c r="A57" s="4" t="str">
        <x:v>src.mvbench.moving_count.c01</x:v>
      </x:c>
      <x:c r="B57" s="4" t="str">
        <x:v>src.mvbench.moving_count</x:v>
      </x:c>
      <x:c r="C57" s="4" t="str">
        <x:v>MVBench</x:v>
      </x:c>
      <x:c r="D57" s="4" t="str">
        <x:v>Moving Count</x:v>
      </x:c>
      <x:c r="E57" s="4" t="str">
        <x:v>—</x:v>
      </x:c>
      <x:c r="F57" s="4" t="str">
        <x:v>benchmark/full</x:v>
      </x:c>
      <x:c r="G57" s="4" t="str">
        <x:v>video_only</x:v>
      </x:c>
      <x:c r="H57" s="4" t="str">
        <x:v>K选1</x:v>
      </x:c>
      <x:c r="I57" s="4" t="str">
        <x:v>4</x:v>
      </x:c>
      <x:c r="J57" s="4" t="str">
        <x:v>Accuracy</x:v>
      </x:c>
      <x:c r="K57" s="4" t="n">
        <x:v>200</x:v>
      </x:c>
      <x:c r="L57" s="4" t="str">
        <x:v>无</x:v>
      </x:c>
      <x:c r="M57" s="4" t="str">
        <x:v>unresolved</x:v>
      </x:c>
      <x:c r="N57" s="4" t="str">
        <x:v>unresolved</x:v>
      </x:c>
      <x:c r="O57" s="4" t="str">
        <x:v>unresolved</x:v>
      </x:c>
      <x:c r="P57" s="4" t="str">
        <x:v>unresolved</x:v>
      </x:c>
      <x:c r="Q57" s="4" t="str">
        <x:v>unresolved</x:v>
      </x:c>
      <x:c r="R57" s="4" t="str">
        <x:v>G23</x:v>
      </x:c>
      <x:c r="S57" s="4" t="str">
        <x:v>P02</x:v>
      </x:c>
      <x:c r="T57" s="4" t="n">
        <x:v>1</x:v>
      </x:c>
      <x:c r="U57" s="4" t="str">
        <x:v>唯一P候选</x:v>
      </x:c>
      <x:c r="V57" s="4" t="str">
        <x:v>P02</x:v>
      </x:c>
      <x:c r="W57" s="4" t="str">
        <x:v>B1</x:v>
      </x:c>
      <x:c r="X57" s="4" t="str">
        <x:v>—</x:v>
      </x:c>
      <x:c r="Y57" s="4" t="str">
        <x:v>R4</x:v>
      </x:c>
      <x:c r="Z57" s="4" t="str">
        <x:v>R4</x:v>
      </x:c>
      <x:c r="AA57" s="4" t="str">
        <x:v>原条件原样继承，未独立验证split/样本量/预算有效性；执行先检查可用模态、query_time和官方评分协议</x:v>
      </x:c>
      <x:c r="AB57" s="4" t="str">
        <x:v>问多少个金属物体离开，是满足运动条件的不同实体数，不是累计exit事件次数。</x:v>
      </x:c>
    </x:row>
    <x:row r="58" ht="52" customHeight="1">
      <x:c r="A58" s="4" t="str">
        <x:v>src.mvbench.moving_direction.c01</x:v>
      </x:c>
      <x:c r="B58" s="4" t="str">
        <x:v>src.mvbench.moving_direction</x:v>
      </x:c>
      <x:c r="C58" s="4" t="str">
        <x:v>MVBench</x:v>
      </x:c>
      <x:c r="D58" s="4" t="str">
        <x:v>Moving Direction</x:v>
      </x:c>
      <x:c r="E58" s="4" t="str">
        <x:v>—</x:v>
      </x:c>
      <x:c r="F58" s="4" t="str">
        <x:v>benchmark/full</x:v>
      </x:c>
      <x:c r="G58" s="4" t="str">
        <x:v>video_only</x:v>
      </x:c>
      <x:c r="H58" s="4" t="str">
        <x:v>K选1</x:v>
      </x:c>
      <x:c r="I58" s="4" t="str">
        <x:v>4</x:v>
      </x:c>
      <x:c r="J58" s="4" t="str">
        <x:v>Accuracy</x:v>
      </x:c>
      <x:c r="K58" s="4" t="n">
        <x:v>200</x:v>
      </x:c>
      <x:c r="L58" s="4" t="str">
        <x:v>无</x:v>
      </x:c>
      <x:c r="M58" s="4" t="str">
        <x:v>unresolved</x:v>
      </x:c>
      <x:c r="N58" s="4" t="str">
        <x:v>unresolved</x:v>
      </x:c>
      <x:c r="O58" s="4" t="str">
        <x:v>unresolved</x:v>
      </x:c>
      <x:c r="P58" s="4" t="str">
        <x:v>unresolved</x:v>
      </x:c>
      <x:c r="Q58" s="4" t="str">
        <x:v>unresolved</x:v>
      </x:c>
      <x:c r="R58" s="4" t="str">
        <x:v>G03</x:v>
      </x:c>
      <x:c r="S58" s="4" t="str">
        <x:v>P02</x:v>
      </x:c>
      <x:c r="T58" s="4" t="n">
        <x:v>1</x:v>
      </x:c>
      <x:c r="U58" s="4" t="str">
        <x:v>唯一P候选</x:v>
      </x:c>
      <x:c r="V58" s="4" t="str">
        <x:v>P02</x:v>
      </x:c>
      <x:c r="W58" s="4" t="str">
        <x:v>B1</x:v>
      </x:c>
      <x:c r="X58" s="4" t="str">
        <x:v>—</x:v>
      </x:c>
      <x:c r="Y58" s="4" t="str">
        <x:v>R2</x:v>
      </x:c>
      <x:c r="Z58" s="4" t="str">
        <x:v>R2</x:v>
      </x:c>
      <x:c r="AA58" s="4" t="str">
        <x:v>原条件原样继承，未独立验证split/样本量/预算有效性；执行先检查可用模态、query_time和官方评分协议</x:v>
      </x:c>
      <x:c r="AB58" s="4" t="str">
        <x:v>连续位置变化与方向；维护目标身份并处理相机参考系。</x:v>
      </x:c>
    </x:row>
    <x:row r="59" ht="52" customHeight="1">
      <x:c r="A59" s="4" t="str">
        <x:v>src.mvbench.object_existence.c01</x:v>
      </x:c>
      <x:c r="B59" s="4" t="str">
        <x:v>src.mvbench.object_existence</x:v>
      </x:c>
      <x:c r="C59" s="4" t="str">
        <x:v>MVBench</x:v>
      </x:c>
      <x:c r="D59" s="4" t="str">
        <x:v>Object Existence</x:v>
      </x:c>
      <x:c r="E59" s="4" t="str">
        <x:v>—</x:v>
      </x:c>
      <x:c r="F59" s="4" t="str">
        <x:v>benchmark/full</x:v>
      </x:c>
      <x:c r="G59" s="4" t="str">
        <x:v>video_only</x:v>
      </x:c>
      <x:c r="H59" s="4" t="str">
        <x:v>K选1</x:v>
      </x:c>
      <x:c r="I59" s="4" t="str">
        <x:v>3</x:v>
      </x:c>
      <x:c r="J59" s="4" t="str">
        <x:v>Accuracy</x:v>
      </x:c>
      <x:c r="K59" s="4" t="n">
        <x:v>200</x:v>
      </x:c>
      <x:c r="L59" s="4" t="str">
        <x:v>无</x:v>
      </x:c>
      <x:c r="M59" s="4" t="str">
        <x:v>unresolved</x:v>
      </x:c>
      <x:c r="N59" s="4" t="str">
        <x:v>unresolved</x:v>
      </x:c>
      <x:c r="O59" s="4" t="str">
        <x:v>unresolved</x:v>
      </x:c>
      <x:c r="P59" s="4" t="str">
        <x:v>unresolved</x:v>
      </x:c>
      <x:c r="Q59" s="4" t="str">
        <x:v>unresolved</x:v>
      </x:c>
      <x:c r="R59" s="4" t="str">
        <x:v>G01</x:v>
      </x:c>
      <x:c r="S59" s="4" t="str">
        <x:v>P01</x:v>
      </x:c>
      <x:c r="T59" s="4" t="n">
        <x:v>1</x:v>
      </x:c>
      <x:c r="U59" s="4" t="str">
        <x:v>唯一P候选</x:v>
      </x:c>
      <x:c r="V59" s="4" t="str">
        <x:v>P01</x:v>
      </x:c>
      <x:c r="W59" s="4" t="str">
        <x:v>B1</x:v>
      </x:c>
      <x:c r="X59" s="4" t="str">
        <x:v>—</x:v>
      </x:c>
      <x:c r="Y59" s="4" t="str">
        <x:v>R2</x:v>
      </x:c>
      <x:c r="Z59" s="4" t="str">
        <x:v>R1 | R2 | R4</x:v>
      </x:c>
      <x:c r="AA59" s="4" t="str">
        <x:v>原条件原样继承，未独立验证split/样本量/预算有效性；执行先检查可用模态、query_time和官方评分协议</x:v>
      </x:c>
      <x:c r="AB59" s="4" t="str">
        <x:v>示例moving green需要末段邻帧识别运动；普通可见存在性可R1，全范围否定需R4覆盖。</x:v>
      </x:c>
    </x:row>
    <x:row r="60" ht="52" customHeight="1">
      <x:c r="A60" s="4" t="str">
        <x:v>src.mvbench.object_interaction.c01</x:v>
      </x:c>
      <x:c r="B60" s="4" t="str">
        <x:v>src.mvbench.object_interaction</x:v>
      </x:c>
      <x:c r="C60" s="4" t="str">
        <x:v>MVBench</x:v>
      </x:c>
      <x:c r="D60" s="4" t="str">
        <x:v>Object Interaction</x:v>
      </x:c>
      <x:c r="E60" s="4" t="str">
        <x:v>—</x:v>
      </x:c>
      <x:c r="F60" s="4" t="str">
        <x:v>benchmark/full</x:v>
      </x:c>
      <x:c r="G60" s="4" t="str">
        <x:v>video_only</x:v>
      </x:c>
      <x:c r="H60" s="4" t="str">
        <x:v>K选1</x:v>
      </x:c>
      <x:c r="I60" s="4" t="str">
        <x:v>4</x:v>
      </x:c>
      <x:c r="J60" s="4" t="str">
        <x:v>Accuracy</x:v>
      </x:c>
      <x:c r="K60" s="4" t="n">
        <x:v>200</x:v>
      </x:c>
      <x:c r="L60" s="4" t="str">
        <x:v>无</x:v>
      </x:c>
      <x:c r="M60" s="4" t="str">
        <x:v>unresolved</x:v>
      </x:c>
      <x:c r="N60" s="4" t="str">
        <x:v>unresolved</x:v>
      </x:c>
      <x:c r="O60" s="4" t="str">
        <x:v>unresolved</x:v>
      </x:c>
      <x:c r="P60" s="4" t="str">
        <x:v>unresolved</x:v>
      </x:c>
      <x:c r="Q60" s="4" t="str">
        <x:v>unresolved</x:v>
      </x:c>
      <x:c r="R60" s="4" t="str">
        <x:v>G40</x:v>
      </x:c>
      <x:c r="S60" s="4" t="str">
        <x:v>P11</x:v>
      </x:c>
      <x:c r="T60" s="4" t="n">
        <x:v>1</x:v>
      </x:c>
      <x:c r="U60" s="4" t="str">
        <x:v>唯一P候选</x:v>
      </x:c>
      <x:c r="V60" s="4" t="str">
        <x:v>P11</x:v>
      </x:c>
      <x:c r="W60" s="4" t="str">
        <x:v>B1</x:v>
      </x:c>
      <x:c r="X60" s="4" t="str">
        <x:v>—</x:v>
      </x:c>
      <x:c r="Y60" s="4" t="str">
        <x:v>R1</x:v>
      </x:c>
      <x:c r="Z60" s="4" t="str">
        <x:v>R1 | R2 | R6</x:v>
      </x:c>
      <x:c r="AA60" s="4" t="str">
        <x:v>原条件原样继承，未独立验证split/样本量/预算有效性；执行先检查可用模态、query_time和官方评分协议</x:v>
      </x:c>
      <x:c r="AB60" s="4" t="str">
        <x:v>识别被整理的物体是局部主体-动作-客体绑定，不自动是多跳推理。</x:v>
      </x:c>
    </x:row>
    <x:row r="61" ht="52" customHeight="1">
      <x:c r="A61" s="4" t="str">
        <x:v>src.mvbench.object_shuffle.c01</x:v>
      </x:c>
      <x:c r="B61" s="4" t="str">
        <x:v>src.mvbench.object_shuffle</x:v>
      </x:c>
      <x:c r="C61" s="4" t="str">
        <x:v>MVBench</x:v>
      </x:c>
      <x:c r="D61" s="4" t="str">
        <x:v>Object Shuffle</x:v>
      </x:c>
      <x:c r="E61" s="4" t="str">
        <x:v>—</x:v>
      </x:c>
      <x:c r="F61" s="4" t="str">
        <x:v>benchmark/full</x:v>
      </x:c>
      <x:c r="G61" s="4" t="str">
        <x:v>video_only</x:v>
      </x:c>
      <x:c r="H61" s="4" t="str">
        <x:v>K选1</x:v>
      </x:c>
      <x:c r="I61" s="4" t="str">
        <x:v>3</x:v>
      </x:c>
      <x:c r="J61" s="4" t="str">
        <x:v>Accuracy</x:v>
      </x:c>
      <x:c r="K61" s="4" t="n">
        <x:v>200</x:v>
      </x:c>
      <x:c r="L61" s="4" t="str">
        <x:v>无</x:v>
      </x:c>
      <x:c r="M61" s="4" t="str">
        <x:v>unresolved</x:v>
      </x:c>
      <x:c r="N61" s="4" t="str">
        <x:v>unresolved</x:v>
      </x:c>
      <x:c r="O61" s="4" t="str">
        <x:v>unresolved</x:v>
      </x:c>
      <x:c r="P61" s="4" t="str">
        <x:v>unresolved</x:v>
      </x:c>
      <x:c r="Q61" s="4" t="str">
        <x:v>unresolved</x:v>
      </x:c>
      <x:c r="R61" s="4" t="str">
        <x:v>G05</x:v>
      </x:c>
      <x:c r="S61" s="4" t="str">
        <x:v>P02</x:v>
      </x:c>
      <x:c r="T61" s="4" t="n">
        <x:v>1</x:v>
      </x:c>
      <x:c r="U61" s="4" t="str">
        <x:v>唯一P候选</x:v>
      </x:c>
      <x:c r="V61" s="4" t="str">
        <x:v>P02</x:v>
      </x:c>
      <x:c r="W61" s="4" t="str">
        <x:v>B1</x:v>
      </x:c>
      <x:c r="X61" s="4" t="str">
        <x:v>—</x:v>
      </x:c>
      <x:c r="Y61" s="4" t="str">
        <x:v>R2</x:v>
      </x:c>
      <x:c r="Z61" s="4" t="str">
        <x:v>R2</x:v>
      </x:c>
      <x:c r="AA61" s="4" t="str">
        <x:v>原条件原样继承，未独立验证split/样本量/预算有效性；执行先检查可用模态、query_time和官方评分协议</x:v>
      </x:c>
      <x:c r="AB61" s="4" t="str">
        <x:v>遮挡游戏需传播身份和容器对应；最终截图不足。</x:v>
      </x:c>
    </x:row>
    <x:row r="62" ht="52" customHeight="1">
      <x:c r="A62" s="4" t="str">
        <x:v>src.mvbench.scene_transition.c01</x:v>
      </x:c>
      <x:c r="B62" s="4" t="str">
        <x:v>src.mvbench.scene_transition</x:v>
      </x:c>
      <x:c r="C62" s="4" t="str">
        <x:v>MVBench</x:v>
      </x:c>
      <x:c r="D62" s="4" t="str">
        <x:v>Scene Transition</x:v>
      </x:c>
      <x:c r="E62" s="4" t="str">
        <x:v>—</x:v>
      </x:c>
      <x:c r="F62" s="4" t="str">
        <x:v>benchmark/full</x:v>
      </x:c>
      <x:c r="G62" s="4" t="str">
        <x:v>video_only</x:v>
      </x:c>
      <x:c r="H62" s="4" t="str">
        <x:v>K选1</x:v>
      </x:c>
      <x:c r="I62" s="4" t="str">
        <x:v>4</x:v>
      </x:c>
      <x:c r="J62" s="4" t="str">
        <x:v>Accuracy</x:v>
      </x:c>
      <x:c r="K62" s="4" t="n">
        <x:v>200</x:v>
      </x:c>
      <x:c r="L62" s="4" t="str">
        <x:v>无</x:v>
      </x:c>
      <x:c r="M62" s="4" t="str">
        <x:v>unresolved</x:v>
      </x:c>
      <x:c r="N62" s="4" t="str">
        <x:v>unresolved</x:v>
      </x:c>
      <x:c r="O62" s="4" t="str">
        <x:v>unresolved</x:v>
      </x:c>
      <x:c r="P62" s="4" t="str">
        <x:v>unresolved</x:v>
      </x:c>
      <x:c r="Q62" s="4" t="str">
        <x:v>unresolved</x:v>
      </x:c>
      <x:c r="R62" s="4" t="str">
        <x:v>G04</x:v>
      </x:c>
      <x:c r="S62" s="4" t="str">
        <x:v>P06</x:v>
      </x:c>
      <x:c r="T62" s="4" t="n">
        <x:v>1</x:v>
      </x:c>
      <x:c r="U62" s="4" t="str">
        <x:v>唯一P候选</x:v>
      </x:c>
      <x:c r="V62" s="4" t="str">
        <x:v>P06</x:v>
      </x:c>
      <x:c r="W62" s="4" t="str">
        <x:v>B1</x:v>
      </x:c>
      <x:c r="X62" s="4" t="str">
        <x:v>—</x:v>
      </x:c>
      <x:c r="Y62" s="4" t="str">
        <x:v>R3</x:v>
      </x:c>
      <x:c r="Z62" s="4" t="str">
        <x:v>R2 | R3</x:v>
      </x:c>
      <x:c r="AA62" s="4" t="str">
        <x:v>原条件原样继承，未独立验证split/样本量/预算有效性；执行先检查可用模态、query_time和官方评分协议</x:v>
      </x:c>
      <x:c r="AB62" s="4" t="str">
        <x:v>比较视频场景按时间的转移；同一场景属性改变才是R2。</x:v>
      </x:c>
    </x:row>
    <x:row r="63" ht="52" customHeight="1">
      <x:c r="A63" s="4" t="str">
        <x:v>src.mvbench.state_change.c01</x:v>
      </x:c>
      <x:c r="B63" s="4" t="str">
        <x:v>src.mvbench.state_change</x:v>
      </x:c>
      <x:c r="C63" s="4" t="str">
        <x:v>MVBench</x:v>
      </x:c>
      <x:c r="D63" s="4" t="str">
        <x:v>State Change</x:v>
      </x:c>
      <x:c r="E63" s="4" t="str">
        <x:v>—</x:v>
      </x:c>
      <x:c r="F63" s="4" t="str">
        <x:v>benchmark/full</x:v>
      </x:c>
      <x:c r="G63" s="4" t="str">
        <x:v>video_only</x:v>
      </x:c>
      <x:c r="H63" s="4" t="str">
        <x:v>K选1</x:v>
      </x:c>
      <x:c r="I63" s="4" t="str">
        <x:v>3</x:v>
      </x:c>
      <x:c r="J63" s="4" t="str">
        <x:v>Accuracy</x:v>
      </x:c>
      <x:c r="K63" s="4" t="n">
        <x:v>200</x:v>
      </x:c>
      <x:c r="L63" s="4" t="str">
        <x:v>无</x:v>
      </x:c>
      <x:c r="M63" s="4" t="str">
        <x:v>unresolved</x:v>
      </x:c>
      <x:c r="N63" s="4" t="str">
        <x:v>unresolved</x:v>
      </x:c>
      <x:c r="O63" s="4" t="str">
        <x:v>unresolved</x:v>
      </x:c>
      <x:c r="P63" s="4" t="str">
        <x:v>unresolved</x:v>
      </x:c>
      <x:c r="Q63" s="4" t="str">
        <x:v>unresolved</x:v>
      </x:c>
      <x:c r="R63" s="4" t="str">
        <x:v>G04</x:v>
      </x:c>
      <x:c r="S63" s="4" t="str">
        <x:v>P06</x:v>
      </x:c>
      <x:c r="T63" s="4" t="n">
        <x:v>1</x:v>
      </x:c>
      <x:c r="U63" s="4" t="str">
        <x:v>唯一P候选</x:v>
      </x:c>
      <x:c r="V63" s="4" t="str">
        <x:v>P06</x:v>
      </x:c>
      <x:c r="W63" s="4" t="str">
        <x:v>B1</x:v>
      </x:c>
      <x:c r="X63" s="4" t="str">
        <x:v>—</x:v>
      </x:c>
      <x:c r="Y63" s="4" t="str">
        <x:v>R2</x:v>
      </x:c>
      <x:c r="Z63" s="4" t="str">
        <x:v>R1 | R2 | R4</x:v>
      </x:c>
      <x:c r="AA63" s="4" t="str">
        <x:v>原条件原样继承，未独立验证split/样本量/预算有效性；执行先检查可用模态、query_time和官方评分协议</x:v>
      </x:c>
      <x:c r="AB63" s="4" t="str">
        <x:v>原定义是状态改变；表内on at any point是状态存在性，正例只需证据，负例需覆盖。</x:v>
      </x:c>
    </x:row>
    <x:row r="64" ht="52" customHeight="1">
      <x:c r="A64" s="4" t="str">
        <x:v>src.mvbench.unexpected_action.c01</x:v>
      </x:c>
      <x:c r="B64" s="4" t="str">
        <x:v>src.mvbench.unexpected_action</x:v>
      </x:c>
      <x:c r="C64" s="4" t="str">
        <x:v>MVBench</x:v>
      </x:c>
      <x:c r="D64" s="4" t="str">
        <x:v>Unexpected Action</x:v>
      </x:c>
      <x:c r="E64" s="4" t="str">
        <x:v>—</x:v>
      </x:c>
      <x:c r="F64" s="4" t="str">
        <x:v>benchmark/full</x:v>
      </x:c>
      <x:c r="G64" s="4" t="str">
        <x:v>video_only</x:v>
      </x:c>
      <x:c r="H64" s="4" t="str">
        <x:v>K选1</x:v>
      </x:c>
      <x:c r="I64" s="4" t="str">
        <x:v>4</x:v>
      </x:c>
      <x:c r="J64" s="4" t="str">
        <x:v>Accuracy</x:v>
      </x:c>
      <x:c r="K64" s="4" t="n">
        <x:v>200</x:v>
      </x:c>
      <x:c r="L64" s="4" t="str">
        <x:v>无</x:v>
      </x:c>
      <x:c r="M64" s="4" t="str">
        <x:v>unresolved</x:v>
      </x:c>
      <x:c r="N64" s="4" t="str">
        <x:v>unresolved</x:v>
      </x:c>
      <x:c r="O64" s="4" t="str">
        <x:v>unresolved</x:v>
      </x:c>
      <x:c r="P64" s="4" t="str">
        <x:v>unresolved</x:v>
      </x:c>
      <x:c r="Q64" s="4" t="str">
        <x:v>unresolved</x:v>
      </x:c>
      <x:c r="R64" s="4" t="str">
        <x:v>G02</x:v>
      </x:c>
      <x:c r="S64" s="4" t="str">
        <x:v>P14</x:v>
      </x:c>
      <x:c r="T64" s="4" t="n">
        <x:v>1</x:v>
      </x:c>
      <x:c r="U64" s="4" t="str">
        <x:v>唯一P候选</x:v>
      </x:c>
      <x:c r="V64" s="4" t="str">
        <x:v>P14</x:v>
      </x:c>
      <x:c r="W64" s="4" t="str">
        <x:v>B1</x:v>
      </x:c>
      <x:c r="X64" s="4" t="str">
        <x:v>—</x:v>
      </x:c>
      <x:c r="Y64" s="4" t="str">
        <x:v>R1</x:v>
      </x:c>
      <x:c r="Z64" s="4" t="str">
        <x:v>R1 | R6</x:v>
      </x:c>
      <x:c r="AA64" s="4" t="str">
        <x:v>原条件原样继承，未独立验证split/样本量/预算有效性；执行先检查可用模态、query_time和官方评分协议</x:v>
      </x:c>
      <x:c r="AB64" s="4" t="str">
        <x:v>问发生了什么意外事件优先检测取证；解释幽默/预期违反才需R6。</x:v>
      </x:c>
    </x:row>
    <x:row r="65" ht="52" customHeight="1">
      <x:c r="A65" s="4" t="str">
        <x:v>src.tomato.action_count.c01</x:v>
      </x:c>
      <x:c r="B65" s="4" t="str">
        <x:v>src.tomato.action_count</x:v>
      </x:c>
      <x:c r="C65" s="4" t="str">
        <x:v>TOMATO</x:v>
      </x:c>
      <x:c r="D65" s="4" t="str">
        <x:v>Action Count</x:v>
      </x:c>
      <x:c r="E65" s="4" t="str">
        <x:v>—</x:v>
      </x:c>
      <x:c r="F65" s="4" t="str">
        <x:v>official-release/full</x:v>
      </x:c>
      <x:c r="G65" s="4" t="str">
        <x:v>video_only</x:v>
      </x:c>
      <x:c r="H65" s="4" t="str">
        <x:v>K选1</x:v>
      </x:c>
      <x:c r="I65" s="4" t="str">
        <x:v>5/6</x:v>
      </x:c>
      <x:c r="J65" s="4" t="str">
        <x:v>Accuracy</x:v>
      </x:c>
      <x:c r="K65" s="4" t="n">
        <x:v>292</x:v>
      </x:c>
      <x:c r="L65" s="4" t="str">
        <x:v>无</x:v>
      </x:c>
      <x:c r="M65" s="4" t="str">
        <x:v>unresolved</x:v>
      </x:c>
      <x:c r="N65" s="4" t="str">
        <x:v>unresolved</x:v>
      </x:c>
      <x:c r="O65" s="4" t="str">
        <x:v>unresolved</x:v>
      </x:c>
      <x:c r="P65" s="4" t="str">
        <x:v>unresolved</x:v>
      </x:c>
      <x:c r="Q65" s="4" t="str">
        <x:v>unresolved</x:v>
      </x:c>
      <x:c r="R65" s="4" t="str">
        <x:v>G21 | G22</x:v>
      </x:c>
      <x:c r="S65" s="4" t="str">
        <x:v>P05</x:v>
      </x:c>
      <x:c r="T65" s="4" t="n">
        <x:v>1</x:v>
      </x:c>
      <x:c r="U65" s="4" t="str">
        <x:v>唯一P候选</x:v>
      </x:c>
      <x:c r="V65" s="4" t="str">
        <x:v>P05</x:v>
      </x:c>
      <x:c r="W65" s="4" t="str">
        <x:v>B1</x:v>
      </x:c>
      <x:c r="X65" s="4" t="str">
        <x:v>P05扫描计划仍需显式预算</x:v>
      </x:c>
      <x:c r="Y65" s="4" t="str">
        <x:v>R3</x:v>
      </x:c>
      <x:c r="Z65" s="4" t="str">
        <x:v>R3</x:v>
      </x:c>
      <x:c r="AA65" s="4" t="str">
        <x:v>原条件原样继承，未独立验证split/样本量/预算有效性；执行先检查可用模态、query_time和官方评分协议</x:v>
      </x:c>
      <x:c r="AB65" s="4" t="str">
        <x:v>空中画梯形的次数为完整轨迹事件数；轨迹识别是必要组件，账本防跨窗双计。</x:v>
      </x:c>
    </x:row>
    <x:row r="66" ht="52" customHeight="1">
      <x:c r="A66" s="4" t="str">
        <x:v>src.tomato.direction.c01</x:v>
      </x:c>
      <x:c r="B66" s="4" t="str">
        <x:v>src.tomato.direction</x:v>
      </x:c>
      <x:c r="C66" s="4" t="str">
        <x:v>TOMATO</x:v>
      </x:c>
      <x:c r="D66" s="4" t="str">
        <x:v>Direction</x:v>
      </x:c>
      <x:c r="E66" s="4" t="str">
        <x:v>—</x:v>
      </x:c>
      <x:c r="F66" s="4" t="str">
        <x:v>official-release/full</x:v>
      </x:c>
      <x:c r="G66" s="4" t="str">
        <x:v>video_only</x:v>
      </x:c>
      <x:c r="H66" s="4" t="str">
        <x:v>K选1</x:v>
      </x:c>
      <x:c r="I66" s="4" t="str">
        <x:v>3/5/6/7</x:v>
      </x:c>
      <x:c r="J66" s="4" t="str">
        <x:v>Accuracy</x:v>
      </x:c>
      <x:c r="K66" s="4" t="n">
        <x:v>403</x:v>
      </x:c>
      <x:c r="L66" s="4" t="str">
        <x:v>无</x:v>
      </x:c>
      <x:c r="M66" s="4" t="str">
        <x:v>unresolved</x:v>
      </x:c>
      <x:c r="N66" s="4" t="str">
        <x:v>unresolved</x:v>
      </x:c>
      <x:c r="O66" s="4" t="str">
        <x:v>unresolved</x:v>
      </x:c>
      <x:c r="P66" s="4" t="str">
        <x:v>unresolved</x:v>
      </x:c>
      <x:c r="Q66" s="4" t="str">
        <x:v>unresolved</x:v>
      </x:c>
      <x:c r="R66" s="4" t="str">
        <x:v>G03</x:v>
      </x:c>
      <x:c r="S66" s="4" t="str">
        <x:v>P02</x:v>
      </x:c>
      <x:c r="T66" s="4" t="n">
        <x:v>1</x:v>
      </x:c>
      <x:c r="U66" s="4" t="str">
        <x:v>唯一P候选</x:v>
      </x:c>
      <x:c r="V66" s="4" t="str">
        <x:v>P02</x:v>
      </x:c>
      <x:c r="W66" s="4" t="str">
        <x:v>B1</x:v>
      </x:c>
      <x:c r="X66" s="4" t="str">
        <x:v>—</x:v>
      </x:c>
      <x:c r="Y66" s="4" t="str">
        <x:v>R2</x:v>
      </x:c>
      <x:c r="Z66" s="4" t="str">
        <x:v>R2</x:v>
      </x:c>
      <x:c r="AA66" s="4" t="str">
        <x:v>原条件原样继承，未独立验证split/样本量/预算有效性；执行先检查可用模态、query_time和官方评分协议</x:v>
      </x:c>
      <x:c r="AB66" s="4" t="str">
        <x:v>运动方向由轨迹求得。</x:v>
      </x:c>
    </x:row>
    <x:row r="67" ht="52" customHeight="1">
      <x:c r="A67" s="4" t="str">
        <x:v>src.tomato.rotation.c01</x:v>
      </x:c>
      <x:c r="B67" s="4" t="str">
        <x:v>src.tomato.rotation</x:v>
      </x:c>
      <x:c r="C67" s="4" t="str">
        <x:v>TOMATO</x:v>
      </x:c>
      <x:c r="D67" s="4" t="str">
        <x:v>Rotation</x:v>
      </x:c>
      <x:c r="E67" s="4" t="str">
        <x:v>—</x:v>
      </x:c>
      <x:c r="F67" s="4" t="str">
        <x:v>official-release/full</x:v>
      </x:c>
      <x:c r="G67" s="4" t="str">
        <x:v>video_only</x:v>
      </x:c>
      <x:c r="H67" s="4" t="str">
        <x:v>K选1</x:v>
      </x:c>
      <x:c r="I67" s="4" t="str">
        <x:v>5</x:v>
      </x:c>
      <x:c r="J67" s="4" t="str">
        <x:v>Accuracy</x:v>
      </x:c>
      <x:c r="K67" s="4" t="n">
        <x:v>286</x:v>
      </x:c>
      <x:c r="L67" s="4" t="str">
        <x:v>无</x:v>
      </x:c>
      <x:c r="M67" s="4" t="str">
        <x:v>unresolved</x:v>
      </x:c>
      <x:c r="N67" s="4" t="str">
        <x:v>unresolved</x:v>
      </x:c>
      <x:c r="O67" s="4" t="str">
        <x:v>unresolved</x:v>
      </x:c>
      <x:c r="P67" s="4" t="str">
        <x:v>unresolved</x:v>
      </x:c>
      <x:c r="Q67" s="4" t="str">
        <x:v>unresolved</x:v>
      </x:c>
      <x:c r="R67" s="4" t="str">
        <x:v>G03</x:v>
      </x:c>
      <x:c r="S67" s="4" t="str">
        <x:v>P02</x:v>
      </x:c>
      <x:c r="T67" s="4" t="n">
        <x:v>1</x:v>
      </x:c>
      <x:c r="U67" s="4" t="str">
        <x:v>唯一P候选</x:v>
      </x:c>
      <x:c r="V67" s="4" t="str">
        <x:v>P02</x:v>
      </x:c>
      <x:c r="W67" s="4" t="str">
        <x:v>B1</x:v>
      </x:c>
      <x:c r="X67" s="4" t="str">
        <x:v>—</x:v>
      </x:c>
      <x:c r="Y67" s="4" t="str">
        <x:v>R2</x:v>
      </x:c>
      <x:c r="Z67" s="4" t="str">
        <x:v>R2</x:v>
      </x:c>
      <x:c r="AA67" s="4" t="str">
        <x:v>原条件原样继承，未独立验证split/样本量/预算有效性；执行先检查可用模态、query_time和官方评分协议</x:v>
      </x:c>
      <x:c r="AB67" s="4" t="str">
        <x:v>旋转方向/反转依赖有序轨迹。</x:v>
      </x:c>
    </x:row>
    <x:row r="68" ht="52" customHeight="1">
      <x:c r="A68" s="4" t="str">
        <x:v>src.tomato.shape_trend.c01</x:v>
      </x:c>
      <x:c r="B68" s="4" t="str">
        <x:v>src.tomato.shape_trend</x:v>
      </x:c>
      <x:c r="C68" s="4" t="str">
        <x:v>TOMATO</x:v>
      </x:c>
      <x:c r="D68" s="4" t="str">
        <x:v>Shape &amp; Trend</x:v>
      </x:c>
      <x:c r="E68" s="4" t="str">
        <x:v>—</x:v>
      </x:c>
      <x:c r="F68" s="4" t="str">
        <x:v>official-release/full</x:v>
      </x:c>
      <x:c r="G68" s="4" t="str">
        <x:v>video_only</x:v>
      </x:c>
      <x:c r="H68" s="4" t="str">
        <x:v>K选1</x:v>
      </x:c>
      <x:c r="I68" s="4" t="str">
        <x:v>3/5/6</x:v>
      </x:c>
      <x:c r="J68" s="4" t="str">
        <x:v>Accuracy</x:v>
      </x:c>
      <x:c r="K68" s="4" t="n">
        <x:v>223</x:v>
      </x:c>
      <x:c r="L68" s="4" t="str">
        <x:v>无</x:v>
      </x:c>
      <x:c r="M68" s="4" t="str">
        <x:v>unresolved</x:v>
      </x:c>
      <x:c r="N68" s="4" t="str">
        <x:v>unresolved</x:v>
      </x:c>
      <x:c r="O68" s="4" t="str">
        <x:v>unresolved</x:v>
      </x:c>
      <x:c r="P68" s="4" t="str">
        <x:v>unresolved</x:v>
      </x:c>
      <x:c r="Q68" s="4" t="str">
        <x:v>unresolved</x:v>
      </x:c>
      <x:c r="R68" s="4" t="str">
        <x:v>G03</x:v>
      </x:c>
      <x:c r="S68" s="4" t="str">
        <x:v>P02</x:v>
      </x:c>
      <x:c r="T68" s="4" t="n">
        <x:v>1</x:v>
      </x:c>
      <x:c r="U68" s="4" t="str">
        <x:v>唯一P候选</x:v>
      </x:c>
      <x:c r="V68" s="4" t="str">
        <x:v>P02</x:v>
      </x:c>
      <x:c r="W68" s="4" t="str">
        <x:v>B1</x:v>
      </x:c>
      <x:c r="X68" s="4" t="str">
        <x:v>—</x:v>
      </x:c>
      <x:c r="Y68" s="4" t="str">
        <x:v>R2</x:v>
      </x:c>
      <x:c r="Z68" s="4" t="str">
        <x:v>R2</x:v>
      </x:c>
      <x:c r="AA68" s="4" t="str">
        <x:v>原条件原样继承，未独立验证split/样本量/预算有效性；执行先检查可用模态、query_time和官方评分协议</x:v>
      </x:c>
      <x:c r="AB68" s="4" t="str">
        <x:v>空中画图的形状来自轨迹，不是静态物体轮廓。</x:v>
      </x:c>
    </x:row>
    <x:row r="69" ht="52" customHeight="1">
      <x:c r="A69" s="4" t="str">
        <x:v>src.tomato.velocity_frequency.c01</x:v>
      </x:c>
      <x:c r="B69" s="4" t="str">
        <x:v>src.tomato.velocity_frequency</x:v>
      </x:c>
      <x:c r="C69" s="4" t="str">
        <x:v>TOMATO</x:v>
      </x:c>
      <x:c r="D69" s="4" t="str">
        <x:v>Velocity &amp; Frequency</x:v>
      </x:c>
      <x:c r="E69" s="4" t="str">
        <x:v>—</x:v>
      </x:c>
      <x:c r="F69" s="4" t="str">
        <x:v>official-release/full</x:v>
      </x:c>
      <x:c r="G69" s="4" t="str">
        <x:v>video_only</x:v>
      </x:c>
      <x:c r="H69" s="4" t="str">
        <x:v>K选1</x:v>
      </x:c>
      <x:c r="I69" s="4" t="str">
        <x:v>4/5</x:v>
      </x:c>
      <x:c r="J69" s="4" t="str">
        <x:v>Accuracy</x:v>
      </x:c>
      <x:c r="K69" s="4" t="n">
        <x:v>210</x:v>
      </x:c>
      <x:c r="L69" s="4" t="str">
        <x:v>无</x:v>
      </x:c>
      <x:c r="M69" s="4" t="str">
        <x:v>unresolved</x:v>
      </x:c>
      <x:c r="N69" s="4" t="str">
        <x:v>unresolved</x:v>
      </x:c>
      <x:c r="O69" s="4" t="str">
        <x:v>unresolved</x:v>
      </x:c>
      <x:c r="P69" s="4" t="str">
        <x:v>unresolved</x:v>
      </x:c>
      <x:c r="Q69" s="4" t="str">
        <x:v>unresolved</x:v>
      </x:c>
      <x:c r="R69" s="4" t="str">
        <x:v>G26</x:v>
      </x:c>
      <x:c r="S69" s="4" t="str">
        <x:v>P03</x:v>
      </x:c>
      <x:c r="T69" s="4" t="n">
        <x:v>1</x:v>
      </x:c>
      <x:c r="U69" s="4" t="str">
        <x:v>唯一P候选</x:v>
      </x:c>
      <x:c r="V69" s="4" t="str">
        <x:v>P03</x:v>
      </x:c>
      <x:c r="W69" s="4" t="str">
        <x:v>B1</x:v>
      </x:c>
      <x:c r="X69" s="4" t="str">
        <x:v>—</x:v>
      </x:c>
      <x:c r="Y69" s="4" t="str">
        <x:v>R2</x:v>
      </x:c>
      <x:c r="Z69" s="4" t="str">
        <x:v>R2</x:v>
      </x:c>
      <x:c r="AA69" s="4" t="str">
        <x:v>原条件原样继承，未独立验证split/样本量/预算有效性；执行先检查可用模态、query_time和官方评分协议</x:v>
      </x:c>
      <x:c r="AB69" s="4" t="str">
        <x:v>加减速与频率模式共享时间序列；不是每道题都具有周期性。</x:v>
      </x:c>
    </x:row>
    <x:row r="70" ht="52" customHeight="1">
      <x:c r="A70" s="4" t="str">
        <x:v>src.tomato.visual_cues.c01</x:v>
      </x:c>
      <x:c r="B70" s="4" t="str">
        <x:v>src.tomato.visual_cues</x:v>
      </x:c>
      <x:c r="C70" s="4" t="str">
        <x:v>TOMATO</x:v>
      </x:c>
      <x:c r="D70" s="4" t="str">
        <x:v>Visual Cues</x:v>
      </x:c>
      <x:c r="E70" s="4" t="str">
        <x:v>—</x:v>
      </x:c>
      <x:c r="F70" s="4" t="str">
        <x:v>official-release/full</x:v>
      </x:c>
      <x:c r="G70" s="4" t="str">
        <x:v>video_only</x:v>
      </x:c>
      <x:c r="H70" s="4" t="str">
        <x:v>K选1</x:v>
      </x:c>
      <x:c r="I70" s="4" t="str">
        <x:v>4/5</x:v>
      </x:c>
      <x:c r="J70" s="4" t="str">
        <x:v>Accuracy</x:v>
      </x:c>
      <x:c r="K70" s="4" t="n">
        <x:v>70</x:v>
      </x:c>
      <x:c r="L70" s="4" t="str">
        <x:v>无</x:v>
      </x:c>
      <x:c r="M70" s="4" t="str">
        <x:v>unresolved</x:v>
      </x:c>
      <x:c r="N70" s="4" t="str">
        <x:v>unresolved</x:v>
      </x:c>
      <x:c r="O70" s="4" t="str">
        <x:v>unresolved</x:v>
      </x:c>
      <x:c r="P70" s="4" t="str">
        <x:v>unresolved</x:v>
      </x:c>
      <x:c r="Q70" s="4" t="str">
        <x:v>unresolved</x:v>
      </x:c>
      <x:c r="R70" s="4" t="str">
        <x:v>G44</x:v>
      </x:c>
      <x:c r="S70" s="4" t="str">
        <x:v>P07</x:v>
      </x:c>
      <x:c r="T70" s="4" t="n">
        <x:v>1</x:v>
      </x:c>
      <x:c r="U70" s="4" t="str">
        <x:v>唯一P候选</x:v>
      </x:c>
      <x:c r="V70" s="4" t="str">
        <x:v>P07</x:v>
      </x:c>
      <x:c r="W70" s="4" t="str">
        <x:v>B1</x:v>
      </x:c>
      <x:c r="X70" s="4" t="str">
        <x:v>—</x:v>
      </x:c>
      <x:c r="Y70" s="4" t="str">
        <x:v>R3</x:v>
      </x:c>
      <x:c r="Z70" s="4" t="str">
        <x:v>R2 | R3</x:v>
      </x:c>
      <x:c r="AA70" s="4" t="str">
        <x:v>原条件原样继承，未独立验证split/样本量/预算有效性；执行先检查可用模态、query_time和官方评分协议</x:v>
      </x:c>
      <x:c r="AB70" s="4" t="str">
        <x:v>§4.1明确无音频，凭可见演奏动作判断先后/时机；sounds不授权音频。</x:v>
      </x:c>
    </x:row>
    <x:row r="71" ht="52" customHeight="1">
      <x:c r="A71" s="4" t="str">
        <x:v>src.tvbench.action_antonym.c01</x:v>
      </x:c>
      <x:c r="B71" s="4" t="str">
        <x:v>src.tvbench.action_antonym</x:v>
      </x:c>
      <x:c r="C71" s="4" t="str">
        <x:v>TVBench</x:v>
      </x:c>
      <x:c r="D71" s="4" t="str">
        <x:v>Action Antonym</x:v>
      </x:c>
      <x:c r="E71" s="4" t="str">
        <x:v>—</x:v>
      </x:c>
      <x:c r="F71" s="4" t="str">
        <x:v>appendix-table7</x:v>
      </x:c>
      <x:c r="G71" s="4" t="str">
        <x:v>video_only</x:v>
      </x:c>
      <x:c r="H71" s="4" t="str">
        <x:v>K选1</x:v>
      </x:c>
      <x:c r="I71" s="4" t="str">
        <x:v>2</x:v>
      </x:c>
      <x:c r="J71" s="4" t="str">
        <x:v>Accuracy</x:v>
      </x:c>
      <x:c r="K71" s="4" t="n">
        <x:v>320</x:v>
      </x:c>
      <x:c r="L71" s="4" t="str">
        <x:v>无</x:v>
      </x:c>
      <x:c r="M71" s="4" t="str">
        <x:v>unresolved</x:v>
      </x:c>
      <x:c r="N71" s="4" t="str">
        <x:v>unresolved</x:v>
      </x:c>
      <x:c r="O71" s="4" t="str">
        <x:v>unresolved</x:v>
      </x:c>
      <x:c r="P71" s="4" t="str">
        <x:v>unresolved</x:v>
      </x:c>
      <x:c r="Q71" s="4" t="str">
        <x:v>unresolved</x:v>
      </x:c>
      <x:c r="R71" s="4" t="str">
        <x:v>G01</x:v>
      </x:c>
      <x:c r="S71" s="4" t="str">
        <x:v>P01</x:v>
      </x:c>
      <x:c r="T71" s="4" t="n">
        <x:v>1</x:v>
      </x:c>
      <x:c r="U71" s="4" t="str">
        <x:v>唯一P候选</x:v>
      </x:c>
      <x:c r="V71" s="4" t="str">
        <x:v>P01</x:v>
      </x:c>
      <x:c r="W71" s="4" t="str">
        <x:v>B1</x:v>
      </x:c>
      <x:c r="X71" s="4" t="str">
        <x:v>—</x:v>
      </x:c>
      <x:c r="Y71" s="4" t="str">
        <x:v>R2</x:v>
      </x:c>
      <x:c r="Z71" s="4" t="str">
        <x:v>R2</x:v>
      </x:c>
      <x:c r="AA71" s="4" t="str">
        <x:v>原条件原样继承，未独立验证split/样本量/预算有效性；执行先检查可用模态、query_time和官方评分协议</x:v>
      </x:c>
      <x:c r="AB71" s="4" t="str">
        <x:v>官方示例戴帽/摘帽、坐下/站起；必须辨别动态方向。</x:v>
      </x:c>
    </x:row>
    <x:row r="72" ht="66" customHeight="1">
      <x:c r="A72" s="4" t="str">
        <x:v>src.tvbench.action_count.c01</x:v>
      </x:c>
      <x:c r="B72" s="4" t="str">
        <x:v>src.tvbench.action_count</x:v>
      </x:c>
      <x:c r="C72" s="4" t="str">
        <x:v>TVBench</x:v>
      </x:c>
      <x:c r="D72" s="4" t="str">
        <x:v>Action Count</x:v>
      </x:c>
      <x:c r="E72" s="4" t="str">
        <x:v>—</x:v>
      </x:c>
      <x:c r="F72" s="4" t="str">
        <x:v>appendix-table7</x:v>
      </x:c>
      <x:c r="G72" s="4" t="str">
        <x:v>video_only</x:v>
      </x:c>
      <x:c r="H72" s="4" t="str">
        <x:v>K选1</x:v>
      </x:c>
      <x:c r="I72" s="4" t="str">
        <x:v>4</x:v>
      </x:c>
      <x:c r="J72" s="4" t="str">
        <x:v>Accuracy</x:v>
      </x:c>
      <x:c r="K72" s="4" t="n">
        <x:v>536</x:v>
      </x:c>
      <x:c r="L72" s="4" t="str">
        <x:v>无</x:v>
      </x:c>
      <x:c r="M72" s="4" t="str">
        <x:v>unresolved</x:v>
      </x:c>
      <x:c r="N72" s="4" t="str">
        <x:v>unresolved</x:v>
      </x:c>
      <x:c r="O72" s="4" t="str">
        <x:v>unresolved</x:v>
      </x:c>
      <x:c r="P72" s="4" t="str">
        <x:v>unresolved</x:v>
      </x:c>
      <x:c r="Q72" s="4" t="str">
        <x:v>unresolved</x:v>
      </x:c>
      <x:c r="R72" s="4" t="str">
        <x:v>G24</x:v>
      </x:c>
      <x:c r="S72" s="4" t="str">
        <x:v>P08</x:v>
      </x:c>
      <x:c r="T72" s="4" t="n">
        <x:v>1</x:v>
      </x:c>
      <x:c r="U72" s="4" t="str">
        <x:v>唯一P候选</x:v>
      </x:c>
      <x:c r="V72" s="4" t="str">
        <x:v>P08</x:v>
      </x:c>
      <x:c r="W72" s="4" t="str">
        <x:v>B1</x:v>
      </x:c>
      <x:c r="X72" s="4" t="str">
        <x:v>—</x:v>
      </x:c>
      <x:c r="Y72" s="4" t="str">
        <x:v>R4</x:v>
      </x:c>
      <x:c r="Z72" s="4" t="str">
        <x:v>R3 | R4</x:v>
      </x:c>
      <x:c r="AA72" s="4" t="str">
        <x:v>原条件原样继承，未独立验证split/样本量/预算有效性；执行先检查可用模态、query_time和官方评分协议</x:v>
      </x:c>
      <x:c r="AB72" s="4" t="str">
        <x:v>模板强调sets/distinct repeated actions。暂保留动作种类/组的去重清单解释；必须复核原视频/标注计数单位，不能自动当作MVBench动作次数。</x:v>
      </x:c>
    </x:row>
    <x:row r="73" ht="52" customHeight="1">
      <x:c r="A73" s="4" t="str">
        <x:v>src.tvbench.action_localization.c01</x:v>
      </x:c>
      <x:c r="B73" s="4" t="str">
        <x:v>src.tvbench.action_localization</x:v>
      </x:c>
      <x:c r="C73" s="4" t="str">
        <x:v>TVBench</x:v>
      </x:c>
      <x:c r="D73" s="4" t="str">
        <x:v>Action Localization</x:v>
      </x:c>
      <x:c r="E73" s="4" t="str">
        <x:v>—</x:v>
      </x:c>
      <x:c r="F73" s="4" t="str">
        <x:v>appendix-table7</x:v>
      </x:c>
      <x:c r="G73" s="4" t="str">
        <x:v>video_only</x:v>
      </x:c>
      <x:c r="H73" s="4" t="str">
        <x:v>K选1</x:v>
      </x:c>
      <x:c r="I73" s="4" t="str">
        <x:v>4</x:v>
      </x:c>
      <x:c r="J73" s="4" t="str">
        <x:v>Accuracy</x:v>
      </x:c>
      <x:c r="K73" s="4" t="n">
        <x:v>160</x:v>
      </x:c>
      <x:c r="L73" s="4" t="str">
        <x:v>无</x:v>
      </x:c>
      <x:c r="M73" s="4" t="str">
        <x:v>unresolved</x:v>
      </x:c>
      <x:c r="N73" s="4" t="str">
        <x:v>unresolved</x:v>
      </x:c>
      <x:c r="O73" s="4" t="str">
        <x:v>unresolved</x:v>
      </x:c>
      <x:c r="P73" s="4" t="str">
        <x:v>unresolved</x:v>
      </x:c>
      <x:c r="Q73" s="4" t="str">
        <x:v>unresolved</x:v>
      </x:c>
      <x:c r="R73" s="4" t="str">
        <x:v>G12</x:v>
      </x:c>
      <x:c r="S73" s="4" t="str">
        <x:v>P07</x:v>
      </x:c>
      <x:c r="T73" s="4" t="n">
        <x:v>1</x:v>
      </x:c>
      <x:c r="U73" s="4" t="str">
        <x:v>唯一P候选</x:v>
      </x:c>
      <x:c r="V73" s="4" t="str">
        <x:v>P07</x:v>
      </x:c>
      <x:c r="W73" s="4" t="str">
        <x:v>B1</x:v>
      </x:c>
      <x:c r="X73" s="4" t="str">
        <x:v>—</x:v>
      </x:c>
      <x:c r="Y73" s="4" t="str">
        <x:v>R3</x:v>
      </x:c>
      <x:c r="Z73" s="4" t="str">
        <x:v>R3</x:v>
      </x:c>
      <x:c r="AA73" s="4" t="str">
        <x:v>原条件原样继承，未独立验证split/样本量/预算有效性；执行先检查可用模态、query_time和官方评分协议</x:v>
      </x:c>
      <x:c r="AB73" s="4" t="str">
        <x:v>动作时间区间映射到beginning/middle/end等选项。</x:v>
      </x:c>
    </x:row>
    <x:row r="74" ht="52" customHeight="1">
      <x:c r="A74" s="4" t="str">
        <x:v>src.tvbench.action_sequence.c01</x:v>
      </x:c>
      <x:c r="B74" s="4" t="str">
        <x:v>src.tvbench.action_sequence</x:v>
      </x:c>
      <x:c r="C74" s="4" t="str">
        <x:v>TVBench</x:v>
      </x:c>
      <x:c r="D74" s="4" t="str">
        <x:v>Action Sequence</x:v>
      </x:c>
      <x:c r="E74" s="4" t="str">
        <x:v>—</x:v>
      </x:c>
      <x:c r="F74" s="4" t="str">
        <x:v>appendix-table7</x:v>
      </x:c>
      <x:c r="G74" s="4" t="str">
        <x:v>video_only</x:v>
      </x:c>
      <x:c r="H74" s="4" t="str">
        <x:v>K选1</x:v>
      </x:c>
      <x:c r="I74" s="4" t="str">
        <x:v>2</x:v>
      </x:c>
      <x:c r="J74" s="4" t="str">
        <x:v>Accuracy</x:v>
      </x:c>
      <x:c r="K74" s="4" t="n">
        <x:v>437</x:v>
      </x:c>
      <x:c r="L74" s="4" t="str">
        <x:v>无</x:v>
      </x:c>
      <x:c r="M74" s="4" t="str">
        <x:v>unresolved</x:v>
      </x:c>
      <x:c r="N74" s="4" t="str">
        <x:v>unresolved</x:v>
      </x:c>
      <x:c r="O74" s="4" t="str">
        <x:v>unresolved</x:v>
      </x:c>
      <x:c r="P74" s="4" t="str">
        <x:v>unresolved</x:v>
      </x:c>
      <x:c r="Q74" s="4" t="str">
        <x:v>unresolved</x:v>
      </x:c>
      <x:c r="R74" s="4" t="str">
        <x:v>G10</x:v>
      </x:c>
      <x:c r="S74" s="4" t="str">
        <x:v>P06</x:v>
      </x:c>
      <x:c r="T74" s="4" t="n">
        <x:v>1</x:v>
      </x:c>
      <x:c r="U74" s="4" t="str">
        <x:v>唯一P候选</x:v>
      </x:c>
      <x:c r="V74" s="4" t="str">
        <x:v>P06</x:v>
      </x:c>
      <x:c r="W74" s="4" t="str">
        <x:v>B1</x:v>
      </x:c>
      <x:c r="X74" s="4" t="str">
        <x:v>—</x:v>
      </x:c>
      <x:c r="Y74" s="4" t="str">
        <x:v>R3</x:v>
      </x:c>
      <x:c r="Z74" s="4" t="str">
        <x:v>R3</x:v>
      </x:c>
      <x:c r="AA74" s="4" t="str">
        <x:v>原条件原样继承，未独立验证split/样本量/预算有效性；执行先检查可用模态、query_time和官方评分协议</x:v>
      </x:c>
      <x:c r="AB74" s="4" t="str">
        <x:v>first要求事件时间排序。</x:v>
      </x:c>
    </x:row>
    <x:row r="75" ht="52" customHeight="1">
      <x:c r="A75" s="4" t="str">
        <x:v>src.tvbench.egocentric_sequence.c01</x:v>
      </x:c>
      <x:c r="B75" s="4" t="str">
        <x:v>src.tvbench.egocentric_sequence</x:v>
      </x:c>
      <x:c r="C75" s="4" t="str">
        <x:v>TVBench</x:v>
      </x:c>
      <x:c r="D75" s="4" t="str">
        <x:v>Egocentric Sequence</x:v>
      </x:c>
      <x:c r="E75" s="4" t="str">
        <x:v>—</x:v>
      </x:c>
      <x:c r="F75" s="4" t="str">
        <x:v>appendix-table7</x:v>
      </x:c>
      <x:c r="G75" s="4" t="str">
        <x:v>video_only</x:v>
      </x:c>
      <x:c r="H75" s="4" t="str">
        <x:v>K选1</x:v>
      </x:c>
      <x:c r="I75" s="4" t="str">
        <x:v>4</x:v>
      </x:c>
      <x:c r="J75" s="4" t="str">
        <x:v>Accuracy</x:v>
      </x:c>
      <x:c r="K75" s="4" t="n">
        <x:v>200</x:v>
      </x:c>
      <x:c r="L75" s="4" t="str">
        <x:v>无</x:v>
      </x:c>
      <x:c r="M75" s="4" t="str">
        <x:v>unresolved</x:v>
      </x:c>
      <x:c r="N75" s="4" t="str">
        <x:v>unresolved</x:v>
      </x:c>
      <x:c r="O75" s="4" t="str">
        <x:v>unresolved</x:v>
      </x:c>
      <x:c r="P75" s="4" t="str">
        <x:v>unresolved</x:v>
      </x:c>
      <x:c r="Q75" s="4" t="str">
        <x:v>unresolved</x:v>
      </x:c>
      <x:c r="R75" s="4" t="str">
        <x:v>G11</x:v>
      </x:c>
      <x:c r="S75" s="4" t="str">
        <x:v>P07</x:v>
      </x:c>
      <x:c r="T75" s="4" t="n">
        <x:v>1</x:v>
      </x:c>
      <x:c r="U75" s="4" t="str">
        <x:v>唯一P候选</x:v>
      </x:c>
      <x:c r="V75" s="4" t="str">
        <x:v>P07</x:v>
      </x:c>
      <x:c r="W75" s="4" t="str">
        <x:v>B1</x:v>
      </x:c>
      <x:c r="X75" s="4" t="str">
        <x:v>—</x:v>
      </x:c>
      <x:c r="Y75" s="4" t="str">
        <x:v>R3</x:v>
      </x:c>
      <x:c r="Z75" s="4" t="str">
        <x:v>R3</x:v>
      </x:c>
      <x:c r="AA75" s="4" t="str">
        <x:v>原条件原样继承，未独立验证split/样本量/预算有效性；执行先检查可用模态、query_time和官方评分协议</x:v>
      </x:c>
      <x:c r="AB75" s="4" t="str">
        <x:v>第一人称不是独立推理算法；问题是动作序列。</x:v>
      </x:c>
    </x:row>
    <x:row r="76" ht="52" customHeight="1">
      <x:c r="A76" s="4" t="str">
        <x:v>src.tvbench.moving_direction.c01</x:v>
      </x:c>
      <x:c r="B76" s="4" t="str">
        <x:v>src.tvbench.moving_direction</x:v>
      </x:c>
      <x:c r="C76" s="4" t="str">
        <x:v>TVBench</x:v>
      </x:c>
      <x:c r="D76" s="4" t="str">
        <x:v>Moving Direction</x:v>
      </x:c>
      <x:c r="E76" s="4" t="str">
        <x:v>—</x:v>
      </x:c>
      <x:c r="F76" s="4" t="str">
        <x:v>appendix-table7</x:v>
      </x:c>
      <x:c r="G76" s="4" t="str">
        <x:v>video_only</x:v>
      </x:c>
      <x:c r="H76" s="4" t="str">
        <x:v>K选1</x:v>
      </x:c>
      <x:c r="I76" s="4" t="str">
        <x:v>4</x:v>
      </x:c>
      <x:c r="J76" s="4" t="str">
        <x:v>Accuracy</x:v>
      </x:c>
      <x:c r="K76" s="4" t="n">
        <x:v>232</x:v>
      </x:c>
      <x:c r="L76" s="4" t="str">
        <x:v>无</x:v>
      </x:c>
      <x:c r="M76" s="4" t="str">
        <x:v>unresolved</x:v>
      </x:c>
      <x:c r="N76" s="4" t="str">
        <x:v>unresolved</x:v>
      </x:c>
      <x:c r="O76" s="4" t="str">
        <x:v>unresolved</x:v>
      </x:c>
      <x:c r="P76" s="4" t="str">
        <x:v>unresolved</x:v>
      </x:c>
      <x:c r="Q76" s="4" t="str">
        <x:v>unresolved</x:v>
      </x:c>
      <x:c r="R76" s="4" t="str">
        <x:v>G03</x:v>
      </x:c>
      <x:c r="S76" s="4" t="str">
        <x:v>P02</x:v>
      </x:c>
      <x:c r="T76" s="4" t="n">
        <x:v>1</x:v>
      </x:c>
      <x:c r="U76" s="4" t="str">
        <x:v>唯一P候选</x:v>
      </x:c>
      <x:c r="V76" s="4" t="str">
        <x:v>P02</x:v>
      </x:c>
      <x:c r="W76" s="4" t="str">
        <x:v>B1</x:v>
      </x:c>
      <x:c r="X76" s="4" t="str">
        <x:v>—</x:v>
      </x:c>
      <x:c r="Y76" s="4" t="str">
        <x:v>R2</x:v>
      </x:c>
      <x:c r="Z76" s="4" t="str">
        <x:v>R2</x:v>
      </x:c>
      <x:c r="AA76" s="4" t="str">
        <x:v>原条件原样继承，未独立验证split/样本量/预算有效性；执行先检查可用模态、query_time和官方评分协议</x:v>
      </x:c>
      <x:c r="AB76" s="4" t="str">
        <x:v>跨帧轨迹方向辨别。</x:v>
      </x:c>
    </x:row>
    <x:row r="77" ht="52" customHeight="1">
      <x:c r="A77" s="4" t="str">
        <x:v>src.tvbench.object_count.c01</x:v>
      </x:c>
      <x:c r="B77" s="4" t="str">
        <x:v>src.tvbench.object_count</x:v>
      </x:c>
      <x:c r="C77" s="4" t="str">
        <x:v>TVBench</x:v>
      </x:c>
      <x:c r="D77" s="4" t="str">
        <x:v>Object Count</x:v>
      </x:c>
      <x:c r="E77" s="4" t="str">
        <x:v>—</x:v>
      </x:c>
      <x:c r="F77" s="4" t="str">
        <x:v>appendix-table7</x:v>
      </x:c>
      <x:c r="G77" s="4" t="str">
        <x:v>video_only</x:v>
      </x:c>
      <x:c r="H77" s="4" t="str">
        <x:v>K选1</x:v>
      </x:c>
      <x:c r="I77" s="4" t="str">
        <x:v>4</x:v>
      </x:c>
      <x:c r="J77" s="4" t="str">
        <x:v>Accuracy</x:v>
      </x:c>
      <x:c r="K77" s="4" t="n">
        <x:v>148</x:v>
      </x:c>
      <x:c r="L77" s="4" t="str">
        <x:v>无</x:v>
      </x:c>
      <x:c r="M77" s="4" t="str">
        <x:v>unresolved</x:v>
      </x:c>
      <x:c r="N77" s="4" t="str">
        <x:v>unresolved</x:v>
      </x:c>
      <x:c r="O77" s="4" t="str">
        <x:v>unresolved</x:v>
      </x:c>
      <x:c r="P77" s="4" t="str">
        <x:v>unresolved</x:v>
      </x:c>
      <x:c r="Q77" s="4" t="str">
        <x:v>unresolved</x:v>
      </x:c>
      <x:c r="R77" s="4" t="str">
        <x:v>G20</x:v>
      </x:c>
      <x:c r="S77" s="4" t="str">
        <x:v>P16</x:v>
      </x:c>
      <x:c r="T77" s="4" t="n">
        <x:v>1</x:v>
      </x:c>
      <x:c r="U77" s="4" t="str">
        <x:v>唯一P候选</x:v>
      </x:c>
      <x:c r="V77" s="4" t="str">
        <x:v>P16</x:v>
      </x:c>
      <x:c r="W77" s="4" t="str">
        <x:v>B1</x:v>
      </x:c>
      <x:c r="X77" s="4" t="str">
        <x:v>—</x:v>
      </x:c>
      <x:c r="Y77" s="4" t="str">
        <x:v>R4</x:v>
      </x:c>
      <x:c r="Z77" s="4" t="str">
        <x:v>R4</x:v>
      </x:c>
      <x:c r="AA77" s="4" t="str">
        <x:v>原条件原样继承，未独立验证split/样本量/预算有效性；执行先检查可用模态、query_time和官方评分协议</x:v>
      </x:c>
      <x:c r="AB77" s="4" t="str">
        <x:v>统计开头正在运动的金属实体；需邻帧运动筛选，再按实体去重，不能静态直接计数。</x:v>
      </x:c>
    </x:row>
    <x:row r="78" ht="52" customHeight="1">
      <x:c r="A78" s="4" t="str">
        <x:v>src.tvbench.object_shuffle.c01</x:v>
      </x:c>
      <x:c r="B78" s="4" t="str">
        <x:v>src.tvbench.object_shuffle</x:v>
      </x:c>
      <x:c r="C78" s="4" t="str">
        <x:v>TVBench</x:v>
      </x:c>
      <x:c r="D78" s="4" t="str">
        <x:v>Object Shuffle</x:v>
      </x:c>
      <x:c r="E78" s="4" t="str">
        <x:v>—</x:v>
      </x:c>
      <x:c r="F78" s="4" t="str">
        <x:v>appendix-table7</x:v>
      </x:c>
      <x:c r="G78" s="4" t="str">
        <x:v>video_only</x:v>
      </x:c>
      <x:c r="H78" s="4" t="str">
        <x:v>K选1</x:v>
      </x:c>
      <x:c r="I78" s="4" t="str">
        <x:v>3</x:v>
      </x:c>
      <x:c r="J78" s="4" t="str">
        <x:v>Accuracy</x:v>
      </x:c>
      <x:c r="K78" s="4" t="n">
        <x:v>225</x:v>
      </x:c>
      <x:c r="L78" s="4" t="str">
        <x:v>无</x:v>
      </x:c>
      <x:c r="M78" s="4" t="str">
        <x:v>unresolved</x:v>
      </x:c>
      <x:c r="N78" s="4" t="str">
        <x:v>unresolved</x:v>
      </x:c>
      <x:c r="O78" s="4" t="str">
        <x:v>unresolved</x:v>
      </x:c>
      <x:c r="P78" s="4" t="str">
        <x:v>unresolved</x:v>
      </x:c>
      <x:c r="Q78" s="4" t="str">
        <x:v>unresolved</x:v>
      </x:c>
      <x:c r="R78" s="4" t="str">
        <x:v>G05</x:v>
      </x:c>
      <x:c r="S78" s="4" t="str">
        <x:v>P02</x:v>
      </x:c>
      <x:c r="T78" s="4" t="n">
        <x:v>1</x:v>
      </x:c>
      <x:c r="U78" s="4" t="str">
        <x:v>唯一P候选</x:v>
      </x:c>
      <x:c r="V78" s="4" t="str">
        <x:v>P02</x:v>
      </x:c>
      <x:c r="W78" s="4" t="str">
        <x:v>B1</x:v>
      </x:c>
      <x:c r="X78" s="4" t="str">
        <x:v>—</x:v>
      </x:c>
      <x:c r="Y78" s="4" t="str">
        <x:v>R2</x:v>
      </x:c>
      <x:c r="Z78" s="4" t="str">
        <x:v>R2</x:v>
      </x:c>
      <x:c r="AA78" s="4" t="str">
        <x:v>原条件原样继承，未独立验证split/样本量/预算有效性；执行先检查可用模态、query_time和官方评分协议</x:v>
      </x:c>
      <x:c r="AB78" s="4" t="str">
        <x:v>遮挡目标位置需持续身份传播。</x:v>
      </x:c>
    </x:row>
    <x:row r="79" ht="52" customHeight="1">
      <x:c r="A79" s="4" t="str">
        <x:v>src.tvbench.scene_transition.c01</x:v>
      </x:c>
      <x:c r="B79" s="4" t="str">
        <x:v>src.tvbench.scene_transition</x:v>
      </x:c>
      <x:c r="C79" s="4" t="str">
        <x:v>TVBench</x:v>
      </x:c>
      <x:c r="D79" s="4" t="str">
        <x:v>Scene Transition</x:v>
      </x:c>
      <x:c r="E79" s="4" t="str">
        <x:v>—</x:v>
      </x:c>
      <x:c r="F79" s="4" t="str">
        <x:v>appendix-table7</x:v>
      </x:c>
      <x:c r="G79" s="4" t="str">
        <x:v>video_only</x:v>
      </x:c>
      <x:c r="H79" s="4" t="str">
        <x:v>K选1</x:v>
      </x:c>
      <x:c r="I79" s="4" t="str">
        <x:v>2</x:v>
      </x:c>
      <x:c r="J79" s="4" t="str">
        <x:v>Accuracy</x:v>
      </x:c>
      <x:c r="K79" s="4" t="n">
        <x:v>185</x:v>
      </x:c>
      <x:c r="L79" s="4" t="str">
        <x:v>无</x:v>
      </x:c>
      <x:c r="M79" s="4" t="str">
        <x:v>unresolved</x:v>
      </x:c>
      <x:c r="N79" s="4" t="str">
        <x:v>unresolved</x:v>
      </x:c>
      <x:c r="O79" s="4" t="str">
        <x:v>unresolved</x:v>
      </x:c>
      <x:c r="P79" s="4" t="str">
        <x:v>unresolved</x:v>
      </x:c>
      <x:c r="Q79" s="4" t="str">
        <x:v>unresolved</x:v>
      </x:c>
      <x:c r="R79" s="4" t="str">
        <x:v>G04</x:v>
      </x:c>
      <x:c r="S79" s="4" t="str">
        <x:v>P06</x:v>
      </x:c>
      <x:c r="T79" s="4" t="n">
        <x:v>1</x:v>
      </x:c>
      <x:c r="U79" s="4" t="str">
        <x:v>唯一P候选</x:v>
      </x:c>
      <x:c r="V79" s="4" t="str">
        <x:v>P06</x:v>
      </x:c>
      <x:c r="W79" s="4" t="str">
        <x:v>B1</x:v>
      </x:c>
      <x:c r="X79" s="4" t="str">
        <x:v>—</x:v>
      </x:c>
      <x:c r="Y79" s="4" t="str">
        <x:v>R3</x:v>
      </x:c>
      <x:c r="Z79" s="4" t="str">
        <x:v>R3</x:v>
      </x:c>
      <x:c r="AA79" s="4" t="str">
        <x:v>原条件原样继承，未独立验证split/样本量/预算有效性；执行先检查可用模态、query_time和官方评分协议</x:v>
      </x:c>
      <x:c r="AB79" s="4" t="str">
        <x:v>场景转换序列，不是一个通用锚点窗口类别。</x:v>
      </x:c>
    </x:row>
    <x:row r="80" ht="52" customHeight="1">
      <x:c r="A80" s="4" t="str">
        <x:v>src.tvbench.unexpected_action.c01</x:v>
      </x:c>
      <x:c r="B80" s="4" t="str">
        <x:v>src.tvbench.unexpected_action</x:v>
      </x:c>
      <x:c r="C80" s="4" t="str">
        <x:v>TVBench</x:v>
      </x:c>
      <x:c r="D80" s="4" t="str">
        <x:v>Unexpected Action</x:v>
      </x:c>
      <x:c r="E80" s="4" t="str">
        <x:v>—</x:v>
      </x:c>
      <x:c r="F80" s="4" t="str">
        <x:v>appendix-table7</x:v>
      </x:c>
      <x:c r="G80" s="4" t="str">
        <x:v>video_only</x:v>
      </x:c>
      <x:c r="H80" s="4" t="str">
        <x:v>K选1</x:v>
      </x:c>
      <x:c r="I80" s="4" t="str">
        <x:v>4</x:v>
      </x:c>
      <x:c r="J80" s="4" t="str">
        <x:v>Accuracy</x:v>
      </x:c>
      <x:c r="K80" s="4" t="n">
        <x:v>82</x:v>
      </x:c>
      <x:c r="L80" s="4" t="str">
        <x:v>无</x:v>
      </x:c>
      <x:c r="M80" s="4" t="str">
        <x:v>unresolved</x:v>
      </x:c>
      <x:c r="N80" s="4" t="str">
        <x:v>unresolved</x:v>
      </x:c>
      <x:c r="O80" s="4" t="str">
        <x:v>unresolved</x:v>
      </x:c>
      <x:c r="P80" s="4" t="str">
        <x:v>unresolved</x:v>
      </x:c>
      <x:c r="Q80" s="4" t="str">
        <x:v>unresolved</x:v>
      </x:c>
      <x:c r="R80" s="4" t="str">
        <x:v>G02</x:v>
      </x:c>
      <x:c r="S80" s="4" t="str">
        <x:v>P14</x:v>
      </x:c>
      <x:c r="T80" s="4" t="n">
        <x:v>1</x:v>
      </x:c>
      <x:c r="U80" s="4" t="str">
        <x:v>唯一P候选</x:v>
      </x:c>
      <x:c r="V80" s="4" t="str">
        <x:v>P14</x:v>
      </x:c>
      <x:c r="W80" s="4" t="str">
        <x:v>B1</x:v>
      </x:c>
      <x:c r="X80" s="4" t="str">
        <x:v>—</x:v>
      </x:c>
      <x:c r="Y80" s="4" t="str">
        <x:v>R3</x:v>
      </x:c>
      <x:c r="Z80" s="4" t="str">
        <x:v>R3</x:v>
      </x:c>
      <x:c r="AA80" s="4" t="str">
        <x:v>原条件原样继承，未独立验证split/样本量/预算有效性；执行先检查可用模态、query_time和官方评分协议</x:v>
      </x:c>
      <x:c r="AB80" s="4" t="str">
        <x:v>官方模板要求Locate creative/amusing/mesmerizing part，终点是时间位置，不是异常原因解释。</x:v>
      </x:c>
    </x:row>
    <x:row r="81" ht="52" customHeight="1">
      <x:c r="A81" s="4" t="str">
        <x:v>src.video_mme.action_reasoning.c01</x:v>
      </x:c>
      <x:c r="B81" s="4" t="str">
        <x:v>src.video_mme.action_reasoning</x:v>
      </x:c>
      <x:c r="C81" s="4" t="str">
        <x:v>Video-MME</x:v>
      </x:c>
      <x:c r="D81" s="4" t="str">
        <x:v>Action Reasoning</x:v>
      </x:c>
      <x:c r="E81" s="4" t="str">
        <x:v>—</x:v>
      </x:c>
      <x:c r="F81" s="4" t="str">
        <x:v>test/video_only</x:v>
      </x:c>
      <x:c r="G81" s="4" t="str">
        <x:v>video_only</x:v>
      </x:c>
      <x:c r="H81" s="4" t="str">
        <x:v>K选1</x:v>
      </x:c>
      <x:c r="I81" s="4" t="str">
        <x:v>4</x:v>
      </x:c>
      <x:c r="J81" s="4" t="str">
        <x:v>Accuracy</x:v>
      </x:c>
      <x:c r="K81" s="4" t="n">
        <x:v>285</x:v>
      </x:c>
      <x:c r="L81" s="4" t="str">
        <x:v>无</x:v>
      </x:c>
      <x:c r="M81" s="4" t="str">
        <x:v>unresolved</x:v>
      </x:c>
      <x:c r="N81" s="4" t="str">
        <x:v>unresolved</x:v>
      </x:c>
      <x:c r="O81" s="4" t="str">
        <x:v>unresolved</x:v>
      </x:c>
      <x:c r="P81" s="4" t="str">
        <x:v>unresolved</x:v>
      </x:c>
      <x:c r="Q81" s="4" t="str">
        <x:v>unresolved</x:v>
      </x:c>
      <x:c r="R81" s="4" t="str">
        <x:v>G17 | G31 | G32 | G33</x:v>
      </x:c>
      <x:c r="S81" s="4" t="str">
        <x:v>P11 | P15</x:v>
      </x:c>
      <x:c r="T81" s="4" t="n">
        <x:v>2</x:v>
      </x:c>
      <x:c r="U81" s="4" t="str">
        <x:v>待P样本拆分</x:v>
      </x:c>
      <x:c r="V81" s="4" t="str">
        <x:v>unresolved</x:v>
      </x:c>
      <x:c r="W81" s="4" t="str">
        <x:v>B1</x:v>
      </x:c>
      <x:c r="X81" s="4" t="str">
        <x:v>—</x:v>
      </x:c>
      <x:c r="Y81" s="4" t="str">
        <x:v>R6</x:v>
      </x:c>
      <x:c r="Z81" s="4" t="str">
        <x:v>R1 | R6</x:v>
      </x:c>
      <x:c r="AA81" s="4" t="str">
        <x:v>原条件原样继承，未独立验证split/样本量/预算有效性；执行先检查可用模态、query_time和官方评分协议</x:v>
      </x:c>
      <x:c r="AB81" s="4" t="str">
        <x:v>动机题若视频直接讲明，走R1；若需结合人物行为与背景才能推出，走R6。不能因Reasoning一词或专业背景统一归入符号求解。</x:v>
      </x:c>
    </x:row>
    <x:row r="82" ht="52" customHeight="1">
      <x:c r="A82" s="4" t="str">
        <x:v>src.video_mme.action_reasoning.c02</x:v>
      </x:c>
      <x:c r="B82" s="4" t="str">
        <x:v>src.video_mme.action_reasoning</x:v>
      </x:c>
      <x:c r="C82" s="4" t="str">
        <x:v>Video-MME</x:v>
      </x:c>
      <x:c r="D82" s="4" t="str">
        <x:v>Action Reasoning</x:v>
      </x:c>
      <x:c r="E82" s="4" t="str">
        <x:v>—</x:v>
      </x:c>
      <x:c r="F82" s="4" t="str">
        <x:v>test/with_subtitle_audio</x:v>
      </x:c>
      <x:c r="G82" s="4" t="str">
        <x:v>video+subtitle/audio</x:v>
      </x:c>
      <x:c r="H82" s="4" t="str">
        <x:v>K选1</x:v>
      </x:c>
      <x:c r="I82" s="4" t="str">
        <x:v>4</x:v>
      </x:c>
      <x:c r="J82" s="4" t="str">
        <x:v>Accuracy</x:v>
      </x:c>
      <x:c r="K82" s="4" t="n">
        <x:v>285</x:v>
      </x:c>
      <x:c r="L82" s="4" t="str">
        <x:v>无</x:v>
      </x:c>
      <x:c r="M82" s="4" t="str">
        <x:v>unresolved</x:v>
      </x:c>
      <x:c r="N82" s="4" t="str">
        <x:v>unresolved</x:v>
      </x:c>
      <x:c r="O82" s="4" t="str">
        <x:v>unresolved</x:v>
      </x:c>
      <x:c r="P82" s="4" t="str">
        <x:v>unresolved</x:v>
      </x:c>
      <x:c r="Q82" s="4" t="str">
        <x:v>unresolved</x:v>
      </x:c>
      <x:c r="R82" s="4" t="str">
        <x:v>G17 | G31 | G32 | G33</x:v>
      </x:c>
      <x:c r="S82" s="4" t="str">
        <x:v>P11 | P15</x:v>
      </x:c>
      <x:c r="T82" s="4" t="n">
        <x:v>2</x:v>
      </x:c>
      <x:c r="U82" s="4" t="str">
        <x:v>待P样本拆分</x:v>
      </x:c>
      <x:c r="V82" s="4" t="str">
        <x:v>unresolved</x:v>
      </x:c>
      <x:c r="W82" s="4" t="str">
        <x:v>B2</x:v>
      </x:c>
      <x:c r="X82" s="4" t="str">
        <x:v>—</x:v>
      </x:c>
      <x:c r="Y82" s="4" t="str">
        <x:v>R6</x:v>
      </x:c>
      <x:c r="Z82" s="4" t="str">
        <x:v>R1 | R6</x:v>
      </x:c>
      <x:c r="AA82" s="4" t="str">
        <x:v>原条件原样继承，未独立验证split/样本量/预算有效性；执行先检查可用模态、query_time和官方评分协议</x:v>
      </x:c>
      <x:c r="AB82" s="4" t="str">
        <x:v>动机题若视频直接讲明，走R1；若需结合人物行为与背景才能推出，走R6。不能因Reasoning一词或专业背景统一归入符号求解。</x:v>
      </x:c>
    </x:row>
    <x:row r="83" ht="52" customHeight="1">
      <x:c r="A83" s="4" t="str">
        <x:v>src.video_mme.action_recognition.c01</x:v>
      </x:c>
      <x:c r="B83" s="4" t="str">
        <x:v>src.video_mme.action_recognition</x:v>
      </x:c>
      <x:c r="C83" s="4" t="str">
        <x:v>Video-MME</x:v>
      </x:c>
      <x:c r="D83" s="4" t="str">
        <x:v>Action Recognition</x:v>
      </x:c>
      <x:c r="E83" s="4" t="str">
        <x:v>—</x:v>
      </x:c>
      <x:c r="F83" s="4" t="str">
        <x:v>test/video_only</x:v>
      </x:c>
      <x:c r="G83" s="4" t="str">
        <x:v>video_only</x:v>
      </x:c>
      <x:c r="H83" s="4" t="str">
        <x:v>K选1</x:v>
      </x:c>
      <x:c r="I83" s="4" t="str">
        <x:v>4</x:v>
      </x:c>
      <x:c r="J83" s="4" t="str">
        <x:v>Accuracy</x:v>
      </x:c>
      <x:c r="K83" s="4" t="n">
        <x:v>313</x:v>
      </x:c>
      <x:c r="L83" s="4" t="str">
        <x:v>无</x:v>
      </x:c>
      <x:c r="M83" s="4" t="str">
        <x:v>unresolved</x:v>
      </x:c>
      <x:c r="N83" s="4" t="str">
        <x:v>unresolved</x:v>
      </x:c>
      <x:c r="O83" s="4" t="str">
        <x:v>unresolved</x:v>
      </x:c>
      <x:c r="P83" s="4" t="str">
        <x:v>unresolved</x:v>
      </x:c>
      <x:c r="Q83" s="4" t="str">
        <x:v>unresolved</x:v>
      </x:c>
      <x:c r="R83" s="4" t="str">
        <x:v>G01 | G10 | G15</x:v>
      </x:c>
      <x:c r="S83" s="4" t="str">
        <x:v>P01 | P06 | P09</x:v>
      </x:c>
      <x:c r="T83" s="4" t="n">
        <x:v>3</x:v>
      </x:c>
      <x:c r="U83" s="4" t="str">
        <x:v>待P样本拆分</x:v>
      </x:c>
      <x:c r="V83" s="4" t="str">
        <x:v>unresolved</x:v>
      </x:c>
      <x:c r="W83" s="4" t="str">
        <x:v>B1</x:v>
      </x:c>
      <x:c r="X83" s="4" t="str">
        <x:v>—</x:v>
      </x:c>
      <x:c r="Y83" s="4" t="str">
        <x:v>R1</x:v>
      </x:c>
      <x:c r="Z83" s="4" t="str">
        <x:v>R1 | R2</x:v>
      </x:c>
      <x:c r="AA83" s="4" t="str">
        <x:v>原条件原样继承，未独立验证split/样本量/预算有效性；执行先检查可用模态、query_time和官方评分协议</x:v>
      </x:c>
      <x:c r="AB83" s="4" t="str">
        <x:v>识别一次庆祝行为通常是局部事件取证；需动作方向、细粒度过程或区分逆序动作的子题改R2。</x:v>
      </x:c>
    </x:row>
    <x:row r="84" ht="52" customHeight="1">
      <x:c r="A84" s="4" t="str">
        <x:v>src.video_mme.action_recognition.c02</x:v>
      </x:c>
      <x:c r="B84" s="4" t="str">
        <x:v>src.video_mme.action_recognition</x:v>
      </x:c>
      <x:c r="C84" s="4" t="str">
        <x:v>Video-MME</x:v>
      </x:c>
      <x:c r="D84" s="4" t="str">
        <x:v>Action Recognition</x:v>
      </x:c>
      <x:c r="E84" s="4" t="str">
        <x:v>—</x:v>
      </x:c>
      <x:c r="F84" s="4" t="str">
        <x:v>test/with_subtitle_audio</x:v>
      </x:c>
      <x:c r="G84" s="4" t="str">
        <x:v>video+subtitle/audio</x:v>
      </x:c>
      <x:c r="H84" s="4" t="str">
        <x:v>K选1</x:v>
      </x:c>
      <x:c r="I84" s="4" t="str">
        <x:v>4</x:v>
      </x:c>
      <x:c r="J84" s="4" t="str">
        <x:v>Accuracy</x:v>
      </x:c>
      <x:c r="K84" s="4" t="n">
        <x:v>313</x:v>
      </x:c>
      <x:c r="L84" s="4" t="str">
        <x:v>无</x:v>
      </x:c>
      <x:c r="M84" s="4" t="str">
        <x:v>unresolved</x:v>
      </x:c>
      <x:c r="N84" s="4" t="str">
        <x:v>unresolved</x:v>
      </x:c>
      <x:c r="O84" s="4" t="str">
        <x:v>unresolved</x:v>
      </x:c>
      <x:c r="P84" s="4" t="str">
        <x:v>unresolved</x:v>
      </x:c>
      <x:c r="Q84" s="4" t="str">
        <x:v>unresolved</x:v>
      </x:c>
      <x:c r="R84" s="4" t="str">
        <x:v>G01 | G10 | G15</x:v>
      </x:c>
      <x:c r="S84" s="4" t="str">
        <x:v>P01 | P06 | P09</x:v>
      </x:c>
      <x:c r="T84" s="4" t="n">
        <x:v>3</x:v>
      </x:c>
      <x:c r="U84" s="4" t="str">
        <x:v>待P样本拆分</x:v>
      </x:c>
      <x:c r="V84" s="4" t="str">
        <x:v>unresolved</x:v>
      </x:c>
      <x:c r="W84" s="4" t="str">
        <x:v>B2</x:v>
      </x:c>
      <x:c r="X84" s="4" t="str">
        <x:v>—</x:v>
      </x:c>
      <x:c r="Y84" s="4" t="str">
        <x:v>R1</x:v>
      </x:c>
      <x:c r="Z84" s="4" t="str">
        <x:v>R1 | R2</x:v>
      </x:c>
      <x:c r="AA84" s="4" t="str">
        <x:v>原条件原样继承，未独立验证split/样本量/预算有效性；执行先检查可用模态、query_time和官方评分协议</x:v>
      </x:c>
      <x:c r="AB84" s="4" t="str">
        <x:v>识别一次庆祝行为通常是局部事件取证；需动作方向、细粒度过程或区分逆序动作的子题改R2。</x:v>
      </x:c>
    </x:row>
    <x:row r="85" ht="52" customHeight="1">
      <x:c r="A85" s="4" t="str">
        <x:v>src.video_mme.attribute_perception.c01</x:v>
      </x:c>
      <x:c r="B85" s="4" t="str">
        <x:v>src.video_mme.attribute_perception</x:v>
      </x:c>
      <x:c r="C85" s="4" t="str">
        <x:v>Video-MME</x:v>
      </x:c>
      <x:c r="D85" s="4" t="str">
        <x:v>Attribute Perception</x:v>
      </x:c>
      <x:c r="E85" s="4" t="str">
        <x:v>—</x:v>
      </x:c>
      <x:c r="F85" s="4" t="str">
        <x:v>test/video_only</x:v>
      </x:c>
      <x:c r="G85" s="4" t="str">
        <x:v>video_only</x:v>
      </x:c>
      <x:c r="H85" s="4" t="str">
        <x:v>K选1</x:v>
      </x:c>
      <x:c r="I85" s="4" t="str">
        <x:v>4</x:v>
      </x:c>
      <x:c r="J85" s="4" t="str">
        <x:v>Accuracy</x:v>
      </x:c>
      <x:c r="K85" s="4" t="n">
        <x:v>222</x:v>
      </x:c>
      <x:c r="L85" s="4" t="str">
        <x:v>无</x:v>
      </x:c>
      <x:c r="M85" s="4" t="str">
        <x:v>unresolved</x:v>
      </x:c>
      <x:c r="N85" s="4" t="str">
        <x:v>unresolved</x:v>
      </x:c>
      <x:c r="O85" s="4" t="str">
        <x:v>unresolved</x:v>
      </x:c>
      <x:c r="P85" s="4" t="str">
        <x:v>unresolved</x:v>
      </x:c>
      <x:c r="Q85" s="4" t="str">
        <x:v>unresolved</x:v>
      </x:c>
      <x:c r="R85" s="4" t="str">
        <x:v>G01 | G04 | G17</x:v>
      </x:c>
      <x:c r="S85" s="4" t="str">
        <x:v>P01 | P06 | P11</x:v>
      </x:c>
      <x:c r="T85" s="4" t="n">
        <x:v>3</x:v>
      </x:c>
      <x:c r="U85" s="4" t="str">
        <x:v>待P样本拆分</x:v>
      </x:c>
      <x:c r="V85" s="4" t="str">
        <x:v>unresolved</x:v>
      </x:c>
      <x:c r="W85" s="4" t="str">
        <x:v>B1</x:v>
      </x:c>
      <x:c r="X85" s="4" t="str">
        <x:v>—</x:v>
      </x:c>
      <x:c r="Y85" s="4" t="str">
        <x:v>R1</x:v>
      </x:c>
      <x:c r="Z85" s="4" t="str">
        <x:v>R1 | R4 | R6</x:v>
      </x:c>
      <x:c r="AA85" s="4" t="str">
        <x:v>原条件原样继承，未独立验证split/样本量/预算有效性；执行先检查可用模态、query_time和官方评分协议</x:v>
      </x:c>
      <x:c r="AB85" s="4" t="str">
        <x:v>代表题是跨陈述判断哪项不正确，需要逐项证据核验；单一属性读取走R1，穷举属性/缺失项走R4。</x:v>
      </x:c>
    </x:row>
    <x:row r="86" ht="52" customHeight="1">
      <x:c r="A86" s="4" t="str">
        <x:v>src.video_mme.attribute_perception.c02</x:v>
      </x:c>
      <x:c r="B86" s="4" t="str">
        <x:v>src.video_mme.attribute_perception</x:v>
      </x:c>
      <x:c r="C86" s="4" t="str">
        <x:v>Video-MME</x:v>
      </x:c>
      <x:c r="D86" s="4" t="str">
        <x:v>Attribute Perception</x:v>
      </x:c>
      <x:c r="E86" s="4" t="str">
        <x:v>—</x:v>
      </x:c>
      <x:c r="F86" s="4" t="str">
        <x:v>test/with_subtitle_audio</x:v>
      </x:c>
      <x:c r="G86" s="4" t="str">
        <x:v>video+subtitle/audio</x:v>
      </x:c>
      <x:c r="H86" s="4" t="str">
        <x:v>K选1</x:v>
      </x:c>
      <x:c r="I86" s="4" t="str">
        <x:v>4</x:v>
      </x:c>
      <x:c r="J86" s="4" t="str">
        <x:v>Accuracy</x:v>
      </x:c>
      <x:c r="K86" s="4" t="n">
        <x:v>222</x:v>
      </x:c>
      <x:c r="L86" s="4" t="str">
        <x:v>无</x:v>
      </x:c>
      <x:c r="M86" s="4" t="str">
        <x:v>unresolved</x:v>
      </x:c>
      <x:c r="N86" s="4" t="str">
        <x:v>unresolved</x:v>
      </x:c>
      <x:c r="O86" s="4" t="str">
        <x:v>unresolved</x:v>
      </x:c>
      <x:c r="P86" s="4" t="str">
        <x:v>unresolved</x:v>
      </x:c>
      <x:c r="Q86" s="4" t="str">
        <x:v>unresolved</x:v>
      </x:c>
      <x:c r="R86" s="4" t="str">
        <x:v>G01 | G04 | G17</x:v>
      </x:c>
      <x:c r="S86" s="4" t="str">
        <x:v>P01 | P06 | P11</x:v>
      </x:c>
      <x:c r="T86" s="4" t="n">
        <x:v>3</x:v>
      </x:c>
      <x:c r="U86" s="4" t="str">
        <x:v>待P样本拆分</x:v>
      </x:c>
      <x:c r="V86" s="4" t="str">
        <x:v>unresolved</x:v>
      </x:c>
      <x:c r="W86" s="4" t="str">
        <x:v>B2</x:v>
      </x:c>
      <x:c r="X86" s="4" t="str">
        <x:v>—</x:v>
      </x:c>
      <x:c r="Y86" s="4" t="str">
        <x:v>R1</x:v>
      </x:c>
      <x:c r="Z86" s="4" t="str">
        <x:v>R1 | R4 | R6</x:v>
      </x:c>
      <x:c r="AA86" s="4" t="str">
        <x:v>原条件原样继承，未独立验证split/样本量/预算有效性；执行先检查可用模态、query_time和官方评分协议</x:v>
      </x:c>
      <x:c r="AB86" s="4" t="str">
        <x:v>代表题是跨陈述判断哪项不正确，需要逐项证据核验；单一属性读取走R1，穷举属性/缺失项走R4。</x:v>
      </x:c>
    </x:row>
    <x:row r="87" ht="52" customHeight="1">
      <x:c r="A87" s="4" t="str">
        <x:v>src.video_mme.counting_problem.c01</x:v>
      </x:c>
      <x:c r="B87" s="4" t="str">
        <x:v>src.video_mme.counting_problem</x:v>
      </x:c>
      <x:c r="C87" s="4" t="str">
        <x:v>Video-MME</x:v>
      </x:c>
      <x:c r="D87" s="4" t="str">
        <x:v>Counting Problem</x:v>
      </x:c>
      <x:c r="E87" s="4" t="str">
        <x:v>—</x:v>
      </x:c>
      <x:c r="F87" s="4" t="str">
        <x:v>test/video_only</x:v>
      </x:c>
      <x:c r="G87" s="4" t="str">
        <x:v>video_only</x:v>
      </x:c>
      <x:c r="H87" s="4" t="str">
        <x:v>K选1</x:v>
      </x:c>
      <x:c r="I87" s="4" t="str">
        <x:v>4</x:v>
      </x:c>
      <x:c r="J87" s="4" t="str">
        <x:v>Accuracy</x:v>
      </x:c>
      <x:c r="K87" s="4" t="n">
        <x:v>268</x:v>
      </x:c>
      <x:c r="L87" s="4" t="str">
        <x:v>无</x:v>
      </x:c>
      <x:c r="M87" s="4" t="str">
        <x:v>unresolved</x:v>
      </x:c>
      <x:c r="N87" s="4" t="str">
        <x:v>unresolved</x:v>
      </x:c>
      <x:c r="O87" s="4" t="str">
        <x:v>unresolved</x:v>
      </x:c>
      <x:c r="P87" s="4" t="str">
        <x:v>unresolved</x:v>
      </x:c>
      <x:c r="Q87" s="4" t="str">
        <x:v>unresolved</x:v>
      </x:c>
      <x:c r="R87" s="4" t="str">
        <x:v>G20 | G21 | G22 | G24</x:v>
      </x:c>
      <x:c r="S87" s="4" t="str">
        <x:v>P05 | P08 | P16</x:v>
      </x:c>
      <x:c r="T87" s="4" t="n">
        <x:v>3</x:v>
      </x:c>
      <x:c r="U87" s="4" t="str">
        <x:v>待P样本拆分</x:v>
      </x:c>
      <x:c r="V87" s="4" t="str">
        <x:v>unresolved</x:v>
      </x:c>
      <x:c r="W87" s="4" t="str">
        <x:v>B1</x:v>
      </x:c>
      <x:c r="X87" s="4" t="str">
        <x:v>P05扫描计划仍需显式预算</x:v>
      </x:c>
      <x:c r="Y87" s="4" t="str">
        <x:v>R4</x:v>
      </x:c>
      <x:c r="Z87" s="4" t="str">
        <x:v>R1 | R3 | R4</x:v>
      </x:c>
      <x:c r="AA87" s="4" t="str">
        <x:v>原条件原样继承，未独立验证split/样本量/预算有效性；执行先检查可用模态、query_time和官方评分协议</x:v>
      </x:c>
      <x:c r="AB87" s="4" t="str">
        <x:v>装饰物哪类最多需各类实例清单及比较；重复动作次数走R3，视频直接报出一个数量且仅问该事实时可R1。先固定计数单位。</x:v>
      </x:c>
    </x:row>
    <x:row r="88" ht="52" customHeight="1">
      <x:c r="A88" s="4" t="str">
        <x:v>src.video_mme.counting_problem.c02</x:v>
      </x:c>
      <x:c r="B88" s="4" t="str">
        <x:v>src.video_mme.counting_problem</x:v>
      </x:c>
      <x:c r="C88" s="4" t="str">
        <x:v>Video-MME</x:v>
      </x:c>
      <x:c r="D88" s="4" t="str">
        <x:v>Counting Problem</x:v>
      </x:c>
      <x:c r="E88" s="4" t="str">
        <x:v>—</x:v>
      </x:c>
      <x:c r="F88" s="4" t="str">
        <x:v>test/with_subtitle_audio</x:v>
      </x:c>
      <x:c r="G88" s="4" t="str">
        <x:v>video+subtitle/audio</x:v>
      </x:c>
      <x:c r="H88" s="4" t="str">
        <x:v>K选1</x:v>
      </x:c>
      <x:c r="I88" s="4" t="str">
        <x:v>4</x:v>
      </x:c>
      <x:c r="J88" s="4" t="str">
        <x:v>Accuracy</x:v>
      </x:c>
      <x:c r="K88" s="4" t="n">
        <x:v>268</x:v>
      </x:c>
      <x:c r="L88" s="4" t="str">
        <x:v>无</x:v>
      </x:c>
      <x:c r="M88" s="4" t="str">
        <x:v>unresolved</x:v>
      </x:c>
      <x:c r="N88" s="4" t="str">
        <x:v>unresolved</x:v>
      </x:c>
      <x:c r="O88" s="4" t="str">
        <x:v>unresolved</x:v>
      </x:c>
      <x:c r="P88" s="4" t="str">
        <x:v>unresolved</x:v>
      </x:c>
      <x:c r="Q88" s="4" t="str">
        <x:v>unresolved</x:v>
      </x:c>
      <x:c r="R88" s="4" t="str">
        <x:v>G20 | G21 | G22 | G24</x:v>
      </x:c>
      <x:c r="S88" s="4" t="str">
        <x:v>P05 | P08 | P16</x:v>
      </x:c>
      <x:c r="T88" s="4" t="n">
        <x:v>3</x:v>
      </x:c>
      <x:c r="U88" s="4" t="str">
        <x:v>待P样本拆分</x:v>
      </x:c>
      <x:c r="V88" s="4" t="str">
        <x:v>unresolved</x:v>
      </x:c>
      <x:c r="W88" s="4" t="str">
        <x:v>B2</x:v>
      </x:c>
      <x:c r="X88" s="4" t="str">
        <x:v>P05扫描计划仍需显式预算</x:v>
      </x:c>
      <x:c r="Y88" s="4" t="str">
        <x:v>R4</x:v>
      </x:c>
      <x:c r="Z88" s="4" t="str">
        <x:v>R1 | R3 | R4</x:v>
      </x:c>
      <x:c r="AA88" s="4" t="str">
        <x:v>原条件原样继承，未独立验证split/样本量/预算有效性；执行先检查可用模态、query_time和官方评分协议</x:v>
      </x:c>
      <x:c r="AB88" s="4" t="str">
        <x:v>装饰物哪类最多需各类实例清单及比较；重复动作次数走R3，视频直接报出一个数量且仅问该事实时可R1。先固定计数单位。</x:v>
      </x:c>
    </x:row>
    <x:row r="89" ht="52" customHeight="1">
      <x:c r="A89" s="4" t="str">
        <x:v>src.video_mme.information_synopsis.c01</x:v>
      </x:c>
      <x:c r="B89" s="4" t="str">
        <x:v>src.video_mme.information_synopsis</x:v>
      </x:c>
      <x:c r="C89" s="4" t="str">
        <x:v>Video-MME</x:v>
      </x:c>
      <x:c r="D89" s="4" t="str">
        <x:v>Information Synopsis</x:v>
      </x:c>
      <x:c r="E89" s="4" t="str">
        <x:v>—</x:v>
      </x:c>
      <x:c r="F89" s="4" t="str">
        <x:v>test/video_only</x:v>
      </x:c>
      <x:c r="G89" s="4" t="str">
        <x:v>video_only</x:v>
      </x:c>
      <x:c r="H89" s="4" t="str">
        <x:v>K选1</x:v>
      </x:c>
      <x:c r="I89" s="4" t="str">
        <x:v>4</x:v>
      </x:c>
      <x:c r="J89" s="4" t="str">
        <x:v>Accuracy</x:v>
      </x:c>
      <x:c r="K89" s="4" t="n">
        <x:v>323</x:v>
      </x:c>
      <x:c r="L89" s="4" t="str">
        <x:v>无</x:v>
      </x:c>
      <x:c r="M89" s="4" t="str">
        <x:v>unresolved</x:v>
      </x:c>
      <x:c r="N89" s="4" t="str">
        <x:v>unresolved</x:v>
      </x:c>
      <x:c r="O89" s="4" t="str">
        <x:v>unresolved</x:v>
      </x:c>
      <x:c r="P89" s="4" t="str">
        <x:v>unresolved</x:v>
      </x:c>
      <x:c r="Q89" s="4" t="str">
        <x:v>unresolved</x:v>
      </x:c>
      <x:c r="R89" s="4" t="str">
        <x:v>G06 | G16</x:v>
      </x:c>
      <x:c r="S89" s="4" t="str">
        <x:v>P08 | P10</x:v>
      </x:c>
      <x:c r="T89" s="4" t="n">
        <x:v>2</x:v>
      </x:c>
      <x:c r="U89" s="4" t="str">
        <x:v>待P样本拆分</x:v>
      </x:c>
      <x:c r="V89" s="4" t="str">
        <x:v>unresolved</x:v>
      </x:c>
      <x:c r="W89" s="4" t="str">
        <x:v>B1</x:v>
      </x:c>
      <x:c r="X89" s="4" t="str">
        <x:v>—</x:v>
      </x:c>
      <x:c r="Y89" s="4" t="str">
        <x:v>R5</x:v>
      </x:c>
      <x:c r="Z89" s="4" t="str">
        <x:v>R4 | R5 | R6</x:v>
      </x:c>
      <x:c r="AA89" s="4" t="str">
        <x:v>原条件原样继承，未独立验证split/样本量/预算有效性；执行先检查可用模态、query_time和官方评分协议</x:v>
      </x:c>
      <x:c r="AB89" s="4" t="str">
        <x:v>视频体裁、主旨或整体内容需要覆盖相关全片；实体列表走R4，隐喻/深层寓意走R6。</x:v>
      </x:c>
    </x:row>
    <x:row r="90" ht="52" customHeight="1">
      <x:c r="A90" s="4" t="str">
        <x:v>src.video_mme.information_synopsis.c02</x:v>
      </x:c>
      <x:c r="B90" s="4" t="str">
        <x:v>src.video_mme.information_synopsis</x:v>
      </x:c>
      <x:c r="C90" s="4" t="str">
        <x:v>Video-MME</x:v>
      </x:c>
      <x:c r="D90" s="4" t="str">
        <x:v>Information Synopsis</x:v>
      </x:c>
      <x:c r="E90" s="4" t="str">
        <x:v>—</x:v>
      </x:c>
      <x:c r="F90" s="4" t="str">
        <x:v>test/with_subtitle_audio</x:v>
      </x:c>
      <x:c r="G90" s="4" t="str">
        <x:v>video+subtitle/audio</x:v>
      </x:c>
      <x:c r="H90" s="4" t="str">
        <x:v>K选1</x:v>
      </x:c>
      <x:c r="I90" s="4" t="str">
        <x:v>4</x:v>
      </x:c>
      <x:c r="J90" s="4" t="str">
        <x:v>Accuracy</x:v>
      </x:c>
      <x:c r="K90" s="4" t="n">
        <x:v>323</x:v>
      </x:c>
      <x:c r="L90" s="4" t="str">
        <x:v>无</x:v>
      </x:c>
      <x:c r="M90" s="4" t="str">
        <x:v>unresolved</x:v>
      </x:c>
      <x:c r="N90" s="4" t="str">
        <x:v>unresolved</x:v>
      </x:c>
      <x:c r="O90" s="4" t="str">
        <x:v>unresolved</x:v>
      </x:c>
      <x:c r="P90" s="4" t="str">
        <x:v>unresolved</x:v>
      </x:c>
      <x:c r="Q90" s="4" t="str">
        <x:v>unresolved</x:v>
      </x:c>
      <x:c r="R90" s="4" t="str">
        <x:v>G06 | G16</x:v>
      </x:c>
      <x:c r="S90" s="4" t="str">
        <x:v>P08 | P10</x:v>
      </x:c>
      <x:c r="T90" s="4" t="n">
        <x:v>2</x:v>
      </x:c>
      <x:c r="U90" s="4" t="str">
        <x:v>待P样本拆分</x:v>
      </x:c>
      <x:c r="V90" s="4" t="str">
        <x:v>unresolved</x:v>
      </x:c>
      <x:c r="W90" s="4" t="str">
        <x:v>B2</x:v>
      </x:c>
      <x:c r="X90" s="4" t="str">
        <x:v>—</x:v>
      </x:c>
      <x:c r="Y90" s="4" t="str">
        <x:v>R5</x:v>
      </x:c>
      <x:c r="Z90" s="4" t="str">
        <x:v>R4 | R5 | R6</x:v>
      </x:c>
      <x:c r="AA90" s="4" t="str">
        <x:v>原条件原样继承，未独立验证split/样本量/预算有效性；执行先检查可用模态、query_time和官方评分协议</x:v>
      </x:c>
      <x:c r="AB90" s="4" t="str">
        <x:v>视频体裁、主旨或整体内容需要覆盖相关全片；实体列表走R4，隐喻/深层寓意走R6。</x:v>
      </x:c>
    </x:row>
    <x:row r="91" ht="52" customHeight="1">
      <x:c r="A91" s="4" t="str">
        <x:v>src.video_mme.object_reasoning.c01</x:v>
      </x:c>
      <x:c r="B91" s="4" t="str">
        <x:v>src.video_mme.object_reasoning</x:v>
      </x:c>
      <x:c r="C91" s="4" t="str">
        <x:v>Video-MME</x:v>
      </x:c>
      <x:c r="D91" s="4" t="str">
        <x:v>Object Reasoning</x:v>
      </x:c>
      <x:c r="E91" s="4" t="str">
        <x:v>—</x:v>
      </x:c>
      <x:c r="F91" s="4" t="str">
        <x:v>test/video_only</x:v>
      </x:c>
      <x:c r="G91" s="4" t="str">
        <x:v>video_only</x:v>
      </x:c>
      <x:c r="H91" s="4" t="str">
        <x:v>K选1</x:v>
      </x:c>
      <x:c r="I91" s="4" t="str">
        <x:v>4</x:v>
      </x:c>
      <x:c r="J91" s="4" t="str">
        <x:v>Accuracy</x:v>
      </x:c>
      <x:c r="K91" s="4" t="n">
        <x:v>454</x:v>
      </x:c>
      <x:c r="L91" s="4" t="str">
        <x:v>无</x:v>
      </x:c>
      <x:c r="M91" s="4" t="str">
        <x:v>unresolved</x:v>
      </x:c>
      <x:c r="N91" s="4" t="str">
        <x:v>unresolved</x:v>
      </x:c>
      <x:c r="O91" s="4" t="str">
        <x:v>unresolved</x:v>
      </x:c>
      <x:c r="P91" s="4" t="str">
        <x:v>unresolved</x:v>
      </x:c>
      <x:c r="Q91" s="4" t="str">
        <x:v>unresolved</x:v>
      </x:c>
      <x:c r="R91" s="4" t="str">
        <x:v>G17 | G31 | G32 | G33 | G40</x:v>
      </x:c>
      <x:c r="S91" s="4" t="str">
        <x:v>P11 | P15</x:v>
      </x:c>
      <x:c r="T91" s="4" t="n">
        <x:v>2</x:v>
      </x:c>
      <x:c r="U91" s="4" t="str">
        <x:v>待P样本拆分</x:v>
      </x:c>
      <x:c r="V91" s="4" t="str">
        <x:v>unresolved</x:v>
      </x:c>
      <x:c r="W91" s="4" t="str">
        <x:v>B1</x:v>
      </x:c>
      <x:c r="X91" s="4" t="str">
        <x:v>—</x:v>
      </x:c>
      <x:c r="Y91" s="4" t="str">
        <x:v>R6</x:v>
      </x:c>
      <x:c r="Z91" s="4" t="str">
        <x:v>R1 | R6</x:v>
      </x:c>
      <x:c r="AA91" s="4" t="str">
        <x:v>原条件原样继承，未独立验证split/样本量/预算有效性；执行先检查可用模态、query_time和官方评分协议</x:v>
      </x:c>
      <x:c r="AB91" s="4" t="str">
        <x:v>食物对应国家可能由解说直接提供，也可能需知识联系；仅凭题干无法确定真实证据负担，代表题暂列条件性R6，明示则R1。</x:v>
      </x:c>
    </x:row>
    <x:row r="92" ht="52" customHeight="1">
      <x:c r="A92" s="4" t="str">
        <x:v>src.video_mme.object_reasoning.c02</x:v>
      </x:c>
      <x:c r="B92" s="4" t="str">
        <x:v>src.video_mme.object_reasoning</x:v>
      </x:c>
      <x:c r="C92" s="4" t="str">
        <x:v>Video-MME</x:v>
      </x:c>
      <x:c r="D92" s="4" t="str">
        <x:v>Object Reasoning</x:v>
      </x:c>
      <x:c r="E92" s="4" t="str">
        <x:v>—</x:v>
      </x:c>
      <x:c r="F92" s="4" t="str">
        <x:v>test/with_subtitle_audio</x:v>
      </x:c>
      <x:c r="G92" s="4" t="str">
        <x:v>video+subtitle/audio</x:v>
      </x:c>
      <x:c r="H92" s="4" t="str">
        <x:v>K选1</x:v>
      </x:c>
      <x:c r="I92" s="4" t="str">
        <x:v>4</x:v>
      </x:c>
      <x:c r="J92" s="4" t="str">
        <x:v>Accuracy</x:v>
      </x:c>
      <x:c r="K92" s="4" t="n">
        <x:v>454</x:v>
      </x:c>
      <x:c r="L92" s="4" t="str">
        <x:v>无</x:v>
      </x:c>
      <x:c r="M92" s="4" t="str">
        <x:v>unresolved</x:v>
      </x:c>
      <x:c r="N92" s="4" t="str">
        <x:v>unresolved</x:v>
      </x:c>
      <x:c r="O92" s="4" t="str">
        <x:v>unresolved</x:v>
      </x:c>
      <x:c r="P92" s="4" t="str">
        <x:v>unresolved</x:v>
      </x:c>
      <x:c r="Q92" s="4" t="str">
        <x:v>unresolved</x:v>
      </x:c>
      <x:c r="R92" s="4" t="str">
        <x:v>G17 | G31 | G32 | G33 | G40</x:v>
      </x:c>
      <x:c r="S92" s="4" t="str">
        <x:v>P11 | P15</x:v>
      </x:c>
      <x:c r="T92" s="4" t="n">
        <x:v>2</x:v>
      </x:c>
      <x:c r="U92" s="4" t="str">
        <x:v>待P样本拆分</x:v>
      </x:c>
      <x:c r="V92" s="4" t="str">
        <x:v>unresolved</x:v>
      </x:c>
      <x:c r="W92" s="4" t="str">
        <x:v>B2</x:v>
      </x:c>
      <x:c r="X92" s="4" t="str">
        <x:v>—</x:v>
      </x:c>
      <x:c r="Y92" s="4" t="str">
        <x:v>R6</x:v>
      </x:c>
      <x:c r="Z92" s="4" t="str">
        <x:v>R1 | R6</x:v>
      </x:c>
      <x:c r="AA92" s="4" t="str">
        <x:v>原条件原样继承，未独立验证split/样本量/预算有效性；执行先检查可用模态、query_time和官方评分协议</x:v>
      </x:c>
      <x:c r="AB92" s="4" t="str">
        <x:v>食物对应国家可能由解说直接提供，也可能需知识联系；仅凭题干无法确定真实证据负担，代表题暂列条件性R6，明示则R1。</x:v>
      </x:c>
    </x:row>
    <x:row r="93" ht="52" customHeight="1">
      <x:c r="A93" s="4" t="str">
        <x:v>src.video_mme.object_recognition.c01</x:v>
      </x:c>
      <x:c r="B93" s="4" t="str">
        <x:v>src.video_mme.object_recognition</x:v>
      </x:c>
      <x:c r="C93" s="4" t="str">
        <x:v>Video-MME</x:v>
      </x:c>
      <x:c r="D93" s="4" t="str">
        <x:v>Object Recognition</x:v>
      </x:c>
      <x:c r="E93" s="4" t="str">
        <x:v>—</x:v>
      </x:c>
      <x:c r="F93" s="4" t="str">
        <x:v>test/video_only</x:v>
      </x:c>
      <x:c r="G93" s="4" t="str">
        <x:v>video_only</x:v>
      </x:c>
      <x:c r="H93" s="4" t="str">
        <x:v>K选1</x:v>
      </x:c>
      <x:c r="I93" s="4" t="str">
        <x:v>4</x:v>
      </x:c>
      <x:c r="J93" s="4" t="str">
        <x:v>Accuracy</x:v>
      </x:c>
      <x:c r="K93" s="4" t="n">
        <x:v>354</x:v>
      </x:c>
      <x:c r="L93" s="4" t="str">
        <x:v>无</x:v>
      </x:c>
      <x:c r="M93" s="4" t="str">
        <x:v>unresolved</x:v>
      </x:c>
      <x:c r="N93" s="4" t="str">
        <x:v>unresolved</x:v>
      </x:c>
      <x:c r="O93" s="4" t="str">
        <x:v>unresolved</x:v>
      </x:c>
      <x:c r="P93" s="4" t="str">
        <x:v>unresolved</x:v>
      </x:c>
      <x:c r="Q93" s="4" t="str">
        <x:v>unresolved</x:v>
      </x:c>
      <x:c r="R93" s="4" t="str">
        <x:v>G01 | G06 | G09 | G15</x:v>
      </x:c>
      <x:c r="S93" s="4" t="str">
        <x:v>P01 | P08 | P09 | P13</x:v>
      </x:c>
      <x:c r="T93" s="4" t="n">
        <x:v>4</x:v>
      </x:c>
      <x:c r="U93" s="4" t="str">
        <x:v>待P样本拆分</x:v>
      </x:c>
      <x:c r="V93" s="4" t="str">
        <x:v>unresolved</x:v>
      </x:c>
      <x:c r="W93" s="4" t="str">
        <x:v>B1</x:v>
      </x:c>
      <x:c r="X93" s="4" t="str">
        <x:v>—</x:v>
      </x:c>
      <x:c r="Y93" s="4" t="str">
        <x:v>R1</x:v>
      </x:c>
      <x:c r="Z93" s="4" t="str">
        <x:v>R1 | R4</x:v>
      </x:c>
      <x:c r="AA93" s="4" t="str">
        <x:v>原条件原样继承，未独立验证split/样本量/预算有效性；执行先检查可用模态、query_time和官方评分协议</x:v>
      </x:c>
      <x:c r="AB93" s="4" t="str">
        <x:v>代表题问墓葬哪些特征/物品未被讨论，是限定话题的排除清单，不是找到一个物体即可停止。普通目标识别仍R1。</x:v>
      </x:c>
    </x:row>
    <x:row r="94" ht="52" customHeight="1">
      <x:c r="A94" s="4" t="str">
        <x:v>src.video_mme.object_recognition.c02</x:v>
      </x:c>
      <x:c r="B94" s="4" t="str">
        <x:v>src.video_mme.object_recognition</x:v>
      </x:c>
      <x:c r="C94" s="4" t="str">
        <x:v>Video-MME</x:v>
      </x:c>
      <x:c r="D94" s="4" t="str">
        <x:v>Object Recognition</x:v>
      </x:c>
      <x:c r="E94" s="4" t="str">
        <x:v>—</x:v>
      </x:c>
      <x:c r="F94" s="4" t="str">
        <x:v>test/with_subtitle_audio</x:v>
      </x:c>
      <x:c r="G94" s="4" t="str">
        <x:v>video+subtitle/audio</x:v>
      </x:c>
      <x:c r="H94" s="4" t="str">
        <x:v>K选1</x:v>
      </x:c>
      <x:c r="I94" s="4" t="str">
        <x:v>4</x:v>
      </x:c>
      <x:c r="J94" s="4" t="str">
        <x:v>Accuracy</x:v>
      </x:c>
      <x:c r="K94" s="4" t="n">
        <x:v>354</x:v>
      </x:c>
      <x:c r="L94" s="4" t="str">
        <x:v>无</x:v>
      </x:c>
      <x:c r="M94" s="4" t="str">
        <x:v>unresolved</x:v>
      </x:c>
      <x:c r="N94" s="4" t="str">
        <x:v>unresolved</x:v>
      </x:c>
      <x:c r="O94" s="4" t="str">
        <x:v>unresolved</x:v>
      </x:c>
      <x:c r="P94" s="4" t="str">
        <x:v>unresolved</x:v>
      </x:c>
      <x:c r="Q94" s="4" t="str">
        <x:v>unresolved</x:v>
      </x:c>
      <x:c r="R94" s="4" t="str">
        <x:v>G01 | G06 | G09 | G15</x:v>
      </x:c>
      <x:c r="S94" s="4" t="str">
        <x:v>P01 | P08 | P09 | P13</x:v>
      </x:c>
      <x:c r="T94" s="4" t="n">
        <x:v>4</x:v>
      </x:c>
      <x:c r="U94" s="4" t="str">
        <x:v>待P样本拆分</x:v>
      </x:c>
      <x:c r="V94" s="4" t="str">
        <x:v>unresolved</x:v>
      </x:c>
      <x:c r="W94" s="4" t="str">
        <x:v>B2</x:v>
      </x:c>
      <x:c r="X94" s="4" t="str">
        <x:v>—</x:v>
      </x:c>
      <x:c r="Y94" s="4" t="str">
        <x:v>R1</x:v>
      </x:c>
      <x:c r="Z94" s="4" t="str">
        <x:v>R1 | R4</x:v>
      </x:c>
      <x:c r="AA94" s="4" t="str">
        <x:v>原条件原样继承，未独立验证split/样本量/预算有效性；执行先检查可用模态、query_time和官方评分协议</x:v>
      </x:c>
      <x:c r="AB94" s="4" t="str">
        <x:v>代表题问墓葬哪些特征/物品未被讨论，是限定话题的排除清单，不是找到一个物体即可停止。普通目标识别仍R1。</x:v>
      </x:c>
    </x:row>
    <x:row r="95" ht="52" customHeight="1">
      <x:c r="A95" s="4" t="str">
        <x:v>src.video_mme.ocr_problems.c01</x:v>
      </x:c>
      <x:c r="B95" s="4" t="str">
        <x:v>src.video_mme.ocr_problems</x:v>
      </x:c>
      <x:c r="C95" s="4" t="str">
        <x:v>Video-MME</x:v>
      </x:c>
      <x:c r="D95" s="4" t="str">
        <x:v>OCR Problems</x:v>
      </x:c>
      <x:c r="E95" s="4" t="str">
        <x:v>—</x:v>
      </x:c>
      <x:c r="F95" s="4" t="str">
        <x:v>test/video_only</x:v>
      </x:c>
      <x:c r="G95" s="4" t="str">
        <x:v>video_only</x:v>
      </x:c>
      <x:c r="H95" s="4" t="str">
        <x:v>K选1</x:v>
      </x:c>
      <x:c r="I95" s="4" t="str">
        <x:v>4</x:v>
      </x:c>
      <x:c r="J95" s="4" t="str">
        <x:v>Accuracy</x:v>
      </x:c>
      <x:c r="K95" s="4" t="n">
        <x:v>139</x:v>
      </x:c>
      <x:c r="L95" s="4" t="str">
        <x:v>无</x:v>
      </x:c>
      <x:c r="M95" s="4" t="str">
        <x:v>unresolved</x:v>
      </x:c>
      <x:c r="N95" s="4" t="str">
        <x:v>unresolved</x:v>
      </x:c>
      <x:c r="O95" s="4" t="str">
        <x:v>unresolved</x:v>
      </x:c>
      <x:c r="P95" s="4" t="str">
        <x:v>unresolved</x:v>
      </x:c>
      <x:c r="Q95" s="4" t="str">
        <x:v>unresolved</x:v>
      </x:c>
      <x:c r="R95" s="4" t="str">
        <x:v>G07 | G46</x:v>
      </x:c>
      <x:c r="S95" s="4" t="str">
        <x:v>P01 | P08</x:v>
      </x:c>
      <x:c r="T95" s="4" t="n">
        <x:v>2</x:v>
      </x:c>
      <x:c r="U95" s="4" t="str">
        <x:v>待P样本拆分</x:v>
      </x:c>
      <x:c r="V95" s="4" t="str">
        <x:v>unresolved</x:v>
      </x:c>
      <x:c r="W95" s="4" t="str">
        <x:v>B1</x:v>
      </x:c>
      <x:c r="X95" s="4" t="str">
        <x:v>—</x:v>
      </x:c>
      <x:c r="Y95" s="4" t="str">
        <x:v>R1</x:v>
      </x:c>
      <x:c r="Z95" s="4" t="str">
        <x:v>R1 | R4</x:v>
      </x:c>
      <x:c r="AA95" s="4" t="str">
        <x:v>原条件原样继承，未独立验证split/样本量/预算有效性；执行先检查可用模态、query_time和官方评分协议</x:v>
      </x:c>
      <x:c r="AB95" s="4" t="str">
        <x:v>手机上的特定句子可定位后高分辨率读取；若收集全片所有文字、不同店名或未出现项，需要R4清单。</x:v>
      </x:c>
    </x:row>
    <x:row r="96" ht="52" customHeight="1">
      <x:c r="A96" s="4" t="str">
        <x:v>src.video_mme.ocr_problems.c02</x:v>
      </x:c>
      <x:c r="B96" s="4" t="str">
        <x:v>src.video_mme.ocr_problems</x:v>
      </x:c>
      <x:c r="C96" s="4" t="str">
        <x:v>Video-MME</x:v>
      </x:c>
      <x:c r="D96" s="4" t="str">
        <x:v>OCR Problems</x:v>
      </x:c>
      <x:c r="E96" s="4" t="str">
        <x:v>—</x:v>
      </x:c>
      <x:c r="F96" s="4" t="str">
        <x:v>test/with_subtitle_audio</x:v>
      </x:c>
      <x:c r="G96" s="4" t="str">
        <x:v>video+subtitle/audio</x:v>
      </x:c>
      <x:c r="H96" s="4" t="str">
        <x:v>K选1</x:v>
      </x:c>
      <x:c r="I96" s="4" t="str">
        <x:v>4</x:v>
      </x:c>
      <x:c r="J96" s="4" t="str">
        <x:v>Accuracy</x:v>
      </x:c>
      <x:c r="K96" s="4" t="n">
        <x:v>139</x:v>
      </x:c>
      <x:c r="L96" s="4" t="str">
        <x:v>无</x:v>
      </x:c>
      <x:c r="M96" s="4" t="str">
        <x:v>unresolved</x:v>
      </x:c>
      <x:c r="N96" s="4" t="str">
        <x:v>unresolved</x:v>
      </x:c>
      <x:c r="O96" s="4" t="str">
        <x:v>unresolved</x:v>
      </x:c>
      <x:c r="P96" s="4" t="str">
        <x:v>unresolved</x:v>
      </x:c>
      <x:c r="Q96" s="4" t="str">
        <x:v>unresolved</x:v>
      </x:c>
      <x:c r="R96" s="4" t="str">
        <x:v>G07 | G46</x:v>
      </x:c>
      <x:c r="S96" s="4" t="str">
        <x:v>P01 | P08</x:v>
      </x:c>
      <x:c r="T96" s="4" t="n">
        <x:v>2</x:v>
      </x:c>
      <x:c r="U96" s="4" t="str">
        <x:v>待P样本拆分</x:v>
      </x:c>
      <x:c r="V96" s="4" t="str">
        <x:v>unresolved</x:v>
      </x:c>
      <x:c r="W96" s="4" t="str">
        <x:v>B2</x:v>
      </x:c>
      <x:c r="X96" s="4" t="str">
        <x:v>—</x:v>
      </x:c>
      <x:c r="Y96" s="4" t="str">
        <x:v>R1</x:v>
      </x:c>
      <x:c r="Z96" s="4" t="str">
        <x:v>R1 | R4</x:v>
      </x:c>
      <x:c r="AA96" s="4" t="str">
        <x:v>原条件原样继承，未独立验证split/样本量/预算有效性；执行先检查可用模态、query_time和官方评分协议</x:v>
      </x:c>
      <x:c r="AB96" s="4" t="str">
        <x:v>手机上的特定句子可定位后高分辨率读取；若收集全片所有文字、不同店名或未出现项，需要R4清单。</x:v>
      </x:c>
    </x:row>
    <x:row r="97" ht="52" customHeight="1">
      <x:c r="A97" s="4" t="str">
        <x:v>src.video_mme.spatial_perception.c01</x:v>
      </x:c>
      <x:c r="B97" s="4" t="str">
        <x:v>src.video_mme.spatial_perception</x:v>
      </x:c>
      <x:c r="C97" s="4" t="str">
        <x:v>Video-MME</x:v>
      </x:c>
      <x:c r="D97" s="4" t="str">
        <x:v>Spatial Perception</x:v>
      </x:c>
      <x:c r="E97" s="4" t="str">
        <x:v>—</x:v>
      </x:c>
      <x:c r="F97" s="4" t="str">
        <x:v>test/video_only</x:v>
      </x:c>
      <x:c r="G97" s="4" t="str">
        <x:v>video_only</x:v>
      </x:c>
      <x:c r="H97" s="4" t="str">
        <x:v>K选1</x:v>
      </x:c>
      <x:c r="I97" s="4" t="str">
        <x:v>4</x:v>
      </x:c>
      <x:c r="J97" s="4" t="str">
        <x:v>Accuracy</x:v>
      </x:c>
      <x:c r="K97" s="4" t="n">
        <x:v>54</x:v>
      </x:c>
      <x:c r="L97" s="4" t="str">
        <x:v>无</x:v>
      </x:c>
      <x:c r="M97" s="4" t="str">
        <x:v>unresolved</x:v>
      </x:c>
      <x:c r="N97" s="4" t="str">
        <x:v>unresolved</x:v>
      </x:c>
      <x:c r="O97" s="4" t="str">
        <x:v>unresolved</x:v>
      </x:c>
      <x:c r="P97" s="4" t="str">
        <x:v>unresolved</x:v>
      </x:c>
      <x:c r="Q97" s="4" t="str">
        <x:v>unresolved</x:v>
      </x:c>
      <x:c r="R97" s="4" t="str">
        <x:v>G01 | G27</x:v>
      </x:c>
      <x:c r="S97" s="4" t="str">
        <x:v>P01 | P17</x:v>
      </x:c>
      <x:c r="T97" s="4" t="n">
        <x:v>2</x:v>
      </x:c>
      <x:c r="U97" s="4" t="str">
        <x:v>待P样本拆分</x:v>
      </x:c>
      <x:c r="V97" s="4" t="str">
        <x:v>unresolved</x:v>
      </x:c>
      <x:c r="W97" s="4" t="str">
        <x:v>B1</x:v>
      </x:c>
      <x:c r="X97" s="4" t="str">
        <x:v>—</x:v>
      </x:c>
      <x:c r="Y97" s="4" t="str">
        <x:v>R1</x:v>
      </x:c>
      <x:c r="Z97" s="4" t="str">
        <x:v>R1 | R9</x:v>
      </x:c>
      <x:c r="AA97" s="4" t="str">
        <x:v>原条件原样继承，未独立验证split/样本量/预算有效性；执行先检查可用模态、query_time和官方评分协议</x:v>
      </x:c>
      <x:c r="AB97" s="4" t="str">
        <x:v>空瓶出现时背景有什么通常是直接可见的局部关系；跨视角参考系、不可同框的空间关系改R9。</x:v>
      </x:c>
    </x:row>
    <x:row r="98" ht="52" customHeight="1">
      <x:c r="A98" s="4" t="str">
        <x:v>src.video_mme.spatial_perception.c02</x:v>
      </x:c>
      <x:c r="B98" s="4" t="str">
        <x:v>src.video_mme.spatial_perception</x:v>
      </x:c>
      <x:c r="C98" s="4" t="str">
        <x:v>Video-MME</x:v>
      </x:c>
      <x:c r="D98" s="4" t="str">
        <x:v>Spatial Perception</x:v>
      </x:c>
      <x:c r="E98" s="4" t="str">
        <x:v>—</x:v>
      </x:c>
      <x:c r="F98" s="4" t="str">
        <x:v>test/with_subtitle_audio</x:v>
      </x:c>
      <x:c r="G98" s="4" t="str">
        <x:v>video+subtitle/audio</x:v>
      </x:c>
      <x:c r="H98" s="4" t="str">
        <x:v>K选1</x:v>
      </x:c>
      <x:c r="I98" s="4" t="str">
        <x:v>4</x:v>
      </x:c>
      <x:c r="J98" s="4" t="str">
        <x:v>Accuracy</x:v>
      </x:c>
      <x:c r="K98" s="4" t="n">
        <x:v>54</x:v>
      </x:c>
      <x:c r="L98" s="4" t="str">
        <x:v>无</x:v>
      </x:c>
      <x:c r="M98" s="4" t="str">
        <x:v>unresolved</x:v>
      </x:c>
      <x:c r="N98" s="4" t="str">
        <x:v>unresolved</x:v>
      </x:c>
      <x:c r="O98" s="4" t="str">
        <x:v>unresolved</x:v>
      </x:c>
      <x:c r="P98" s="4" t="str">
        <x:v>unresolved</x:v>
      </x:c>
      <x:c r="Q98" s="4" t="str">
        <x:v>unresolved</x:v>
      </x:c>
      <x:c r="R98" s="4" t="str">
        <x:v>G01 | G27</x:v>
      </x:c>
      <x:c r="S98" s="4" t="str">
        <x:v>P01 | P17</x:v>
      </x:c>
      <x:c r="T98" s="4" t="n">
        <x:v>2</x:v>
      </x:c>
      <x:c r="U98" s="4" t="str">
        <x:v>待P样本拆分</x:v>
      </x:c>
      <x:c r="V98" s="4" t="str">
        <x:v>unresolved</x:v>
      </x:c>
      <x:c r="W98" s="4" t="str">
        <x:v>B2</x:v>
      </x:c>
      <x:c r="X98" s="4" t="str">
        <x:v>—</x:v>
      </x:c>
      <x:c r="Y98" s="4" t="str">
        <x:v>R1</x:v>
      </x:c>
      <x:c r="Z98" s="4" t="str">
        <x:v>R1 | R9</x:v>
      </x:c>
      <x:c r="AA98" s="4" t="str">
        <x:v>原条件原样继承，未独立验证split/样本量/预算有效性；执行先检查可用模态、query_time和官方评分协议</x:v>
      </x:c>
      <x:c r="AB98" s="4" t="str">
        <x:v>空瓶出现时背景有什么通常是直接可见的局部关系；跨视角参考系、不可同框的空间关系改R9。</x:v>
      </x:c>
    </x:row>
    <x:row r="99" ht="52" customHeight="1">
      <x:c r="A99" s="4" t="str">
        <x:v>src.video_mme.spatial_reasoning.c01</x:v>
      </x:c>
      <x:c r="B99" s="4" t="str">
        <x:v>src.video_mme.spatial_reasoning</x:v>
      </x:c>
      <x:c r="C99" s="4" t="str">
        <x:v>Video-MME</x:v>
      </x:c>
      <x:c r="D99" s="4" t="str">
        <x:v>Spatial Reasoning</x:v>
      </x:c>
      <x:c r="E99" s="4" t="str">
        <x:v>—</x:v>
      </x:c>
      <x:c r="F99" s="4" t="str">
        <x:v>test/video_only</x:v>
      </x:c>
      <x:c r="G99" s="4" t="str">
        <x:v>video_only</x:v>
      </x:c>
      <x:c r="H99" s="4" t="str">
        <x:v>K选1</x:v>
      </x:c>
      <x:c r="I99" s="4" t="str">
        <x:v>4</x:v>
      </x:c>
      <x:c r="J99" s="4" t="str">
        <x:v>Accuracy</x:v>
      </x:c>
      <x:c r="K99" s="4" t="n">
        <x:v>56</x:v>
      </x:c>
      <x:c r="L99" s="4" t="str">
        <x:v>无</x:v>
      </x:c>
      <x:c r="M99" s="4" t="str">
        <x:v>unresolved</x:v>
      </x:c>
      <x:c r="N99" s="4" t="str">
        <x:v>unresolved</x:v>
      </x:c>
      <x:c r="O99" s="4" t="str">
        <x:v>unresolved</x:v>
      </x:c>
      <x:c r="P99" s="4" t="str">
        <x:v>unresolved</x:v>
      </x:c>
      <x:c r="Q99" s="4" t="str">
        <x:v>unresolved</x:v>
      </x:c>
      <x:c r="R99" s="4" t="str">
        <x:v>G17 | G27 | G31</x:v>
      </x:c>
      <x:c r="S99" s="4" t="str">
        <x:v>P11 | P17</x:v>
      </x:c>
      <x:c r="T99" s="4" t="n">
        <x:v>2</x:v>
      </x:c>
      <x:c r="U99" s="4" t="str">
        <x:v>待P样本拆分</x:v>
      </x:c>
      <x:c r="V99" s="4" t="str">
        <x:v>unresolved</x:v>
      </x:c>
      <x:c r="W99" s="4" t="str">
        <x:v>B1</x:v>
      </x:c>
      <x:c r="X99" s="4" t="str">
        <x:v>—</x:v>
      </x:c>
      <x:c r="Y99" s="4" t="str">
        <x:v>R6</x:v>
      </x:c>
      <x:c r="Z99" s="4" t="str">
        <x:v>R1 | R6 | R9</x:v>
      </x:c>
      <x:c r="AA99" s="4" t="str">
        <x:v>原条件原样继承，未独立验证split/样本量/预算有效性；执行先检查可用模态、query_time和官方评分协议</x:v>
      </x:c>
      <x:c r="AB99" s="4" t="str">
        <x:v>代表题问屋顶物体为何飞起，是原因推断，不是左右/距离计算。其他子题按直接空间事实R1、关系推理R6或场景建模R9拆分。</x:v>
      </x:c>
    </x:row>
    <x:row r="100" ht="52" customHeight="1">
      <x:c r="A100" s="4" t="str">
        <x:v>src.video_mme.spatial_reasoning.c02</x:v>
      </x:c>
      <x:c r="B100" s="4" t="str">
        <x:v>src.video_mme.spatial_reasoning</x:v>
      </x:c>
      <x:c r="C100" s="4" t="str">
        <x:v>Video-MME</x:v>
      </x:c>
      <x:c r="D100" s="4" t="str">
        <x:v>Spatial Reasoning</x:v>
      </x:c>
      <x:c r="E100" s="4" t="str">
        <x:v>—</x:v>
      </x:c>
      <x:c r="F100" s="4" t="str">
        <x:v>test/with_subtitle_audio</x:v>
      </x:c>
      <x:c r="G100" s="4" t="str">
        <x:v>video+subtitle/audio</x:v>
      </x:c>
      <x:c r="H100" s="4" t="str">
        <x:v>K选1</x:v>
      </x:c>
      <x:c r="I100" s="4" t="str">
        <x:v>4</x:v>
      </x:c>
      <x:c r="J100" s="4" t="str">
        <x:v>Accuracy</x:v>
      </x:c>
      <x:c r="K100" s="4" t="n">
        <x:v>56</x:v>
      </x:c>
      <x:c r="L100" s="4" t="str">
        <x:v>无</x:v>
      </x:c>
      <x:c r="M100" s="4" t="str">
        <x:v>unresolved</x:v>
      </x:c>
      <x:c r="N100" s="4" t="str">
        <x:v>unresolved</x:v>
      </x:c>
      <x:c r="O100" s="4" t="str">
        <x:v>unresolved</x:v>
      </x:c>
      <x:c r="P100" s="4" t="str">
        <x:v>unresolved</x:v>
      </x:c>
      <x:c r="Q100" s="4" t="str">
        <x:v>unresolved</x:v>
      </x:c>
      <x:c r="R100" s="4" t="str">
        <x:v>G17 | G27 | G31</x:v>
      </x:c>
      <x:c r="S100" s="4" t="str">
        <x:v>P11 | P17</x:v>
      </x:c>
      <x:c r="T100" s="4" t="n">
        <x:v>2</x:v>
      </x:c>
      <x:c r="U100" s="4" t="str">
        <x:v>待P样本拆分</x:v>
      </x:c>
      <x:c r="V100" s="4" t="str">
        <x:v>unresolved</x:v>
      </x:c>
      <x:c r="W100" s="4" t="str">
        <x:v>B2</x:v>
      </x:c>
      <x:c r="X100" s="4" t="str">
        <x:v>—</x:v>
      </x:c>
      <x:c r="Y100" s="4" t="str">
        <x:v>R6</x:v>
      </x:c>
      <x:c r="Z100" s="4" t="str">
        <x:v>R1 | R6 | R9</x:v>
      </x:c>
      <x:c r="AA100" s="4" t="str">
        <x:v>原条件原样继承，未独立验证split/样本量/预算有效性；执行先检查可用模态、query_time和官方评分协议</x:v>
      </x:c>
      <x:c r="AB100" s="4" t="str">
        <x:v>代表题问屋顶物体为何飞起，是原因推断，不是左右/距离计算。其他子题按直接空间事实R1、关系推理R6或场景建模R9拆分。</x:v>
      </x:c>
    </x:row>
    <x:row r="101" ht="66" customHeight="1">
      <x:c r="A101" s="4" t="str">
        <x:v>src.video_mme.temporal_perception.c01</x:v>
      </x:c>
      <x:c r="B101" s="4" t="str">
        <x:v>src.video_mme.temporal_perception</x:v>
      </x:c>
      <x:c r="C101" s="4" t="str">
        <x:v>Video-MME</x:v>
      </x:c>
      <x:c r="D101" s="4" t="str">
        <x:v>Temporal Perception</x:v>
      </x:c>
      <x:c r="E101" s="4" t="str">
        <x:v>—</x:v>
      </x:c>
      <x:c r="F101" s="4" t="str">
        <x:v>test/video_only</x:v>
      </x:c>
      <x:c r="G101" s="4" t="str">
        <x:v>video_only</x:v>
      </x:c>
      <x:c r="H101" s="4" t="str">
        <x:v>K选1</x:v>
      </x:c>
      <x:c r="I101" s="4" t="str">
        <x:v>4</x:v>
      </x:c>
      <x:c r="J101" s="4" t="str">
        <x:v>Accuracy</x:v>
      </x:c>
      <x:c r="K101" s="4" t="n">
        <x:v>55</x:v>
      </x:c>
      <x:c r="L101" s="4" t="str">
        <x:v>无</x:v>
      </x:c>
      <x:c r="M101" s="4" t="str">
        <x:v>unresolved</x:v>
      </x:c>
      <x:c r="N101" s="4" t="str">
        <x:v>unresolved</x:v>
      </x:c>
      <x:c r="O101" s="4" t="str">
        <x:v>unresolved</x:v>
      </x:c>
      <x:c r="P101" s="4" t="str">
        <x:v>unresolved</x:v>
      </x:c>
      <x:c r="Q101" s="4" t="str">
        <x:v>unresolved</x:v>
      </x:c>
      <x:c r="R101" s="4" t="str">
        <x:v>G10 | G11 | G15 | G45</x:v>
      </x:c>
      <x:c r="S101" s="4" t="str">
        <x:v>P06 | P07 | P09</x:v>
      </x:c>
      <x:c r="T101" s="4" t="n">
        <x:v>3</x:v>
      </x:c>
      <x:c r="U101" s="4" t="str">
        <x:v>待P样本拆分</x:v>
      </x:c>
      <x:c r="V101" s="4" t="str">
        <x:v>unresolved</x:v>
      </x:c>
      <x:c r="W101" s="4" t="str">
        <x:v>B1</x:v>
      </x:c>
      <x:c r="X101" s="4" t="str">
        <x:v>—</x:v>
      </x:c>
      <x:c r="Y101" s="4" t="str">
        <x:v>R3</x:v>
      </x:c>
      <x:c r="Z101" s="4" t="str">
        <x:v>R1 | R3 | R8</x:v>
      </x:c>
      <x:c r="AA101" s="4" t="str">
        <x:v>原条件原样继承，未独立验证split/样本量/预算有效性；执行先检查可用模态、query_time和官方评分协议</x:v>
      </x:c>
      <x:c r="AB101" s="4" t="str">
        <x:v>最早人类演化阶段是内容中的语义年代，不等于在视频中最先出现。若视频明示读R1；事件出现顺序R3；读取年代后比较可R8。代表题归类仍需视频证据确认。</x:v>
      </x:c>
    </x:row>
    <x:row r="102" ht="66" customHeight="1">
      <x:c r="A102" s="4" t="str">
        <x:v>src.video_mme.temporal_perception.c02</x:v>
      </x:c>
      <x:c r="B102" s="4" t="str">
        <x:v>src.video_mme.temporal_perception</x:v>
      </x:c>
      <x:c r="C102" s="4" t="str">
        <x:v>Video-MME</x:v>
      </x:c>
      <x:c r="D102" s="4" t="str">
        <x:v>Temporal Perception</x:v>
      </x:c>
      <x:c r="E102" s="4" t="str">
        <x:v>—</x:v>
      </x:c>
      <x:c r="F102" s="4" t="str">
        <x:v>test/with_subtitle_audio</x:v>
      </x:c>
      <x:c r="G102" s="4" t="str">
        <x:v>video+subtitle/audio</x:v>
      </x:c>
      <x:c r="H102" s="4" t="str">
        <x:v>K选1</x:v>
      </x:c>
      <x:c r="I102" s="4" t="str">
        <x:v>4</x:v>
      </x:c>
      <x:c r="J102" s="4" t="str">
        <x:v>Accuracy</x:v>
      </x:c>
      <x:c r="K102" s="4" t="n">
        <x:v>55</x:v>
      </x:c>
      <x:c r="L102" s="4" t="str">
        <x:v>无</x:v>
      </x:c>
      <x:c r="M102" s="4" t="str">
        <x:v>unresolved</x:v>
      </x:c>
      <x:c r="N102" s="4" t="str">
        <x:v>unresolved</x:v>
      </x:c>
      <x:c r="O102" s="4" t="str">
        <x:v>unresolved</x:v>
      </x:c>
      <x:c r="P102" s="4" t="str">
        <x:v>unresolved</x:v>
      </x:c>
      <x:c r="Q102" s="4" t="str">
        <x:v>unresolved</x:v>
      </x:c>
      <x:c r="R102" s="4" t="str">
        <x:v>G10 | G11 | G15 | G45</x:v>
      </x:c>
      <x:c r="S102" s="4" t="str">
        <x:v>P06 | P07 | P09</x:v>
      </x:c>
      <x:c r="T102" s="4" t="n">
        <x:v>3</x:v>
      </x:c>
      <x:c r="U102" s="4" t="str">
        <x:v>待P样本拆分</x:v>
      </x:c>
      <x:c r="V102" s="4" t="str">
        <x:v>unresolved</x:v>
      </x:c>
      <x:c r="W102" s="4" t="str">
        <x:v>B2</x:v>
      </x:c>
      <x:c r="X102" s="4" t="str">
        <x:v>—</x:v>
      </x:c>
      <x:c r="Y102" s="4" t="str">
        <x:v>R3</x:v>
      </x:c>
      <x:c r="Z102" s="4" t="str">
        <x:v>R1 | R3 | R8</x:v>
      </x:c>
      <x:c r="AA102" s="4" t="str">
        <x:v>原条件原样继承，未独立验证split/样本量/预算有效性；执行先检查可用模态、query_time和官方评分协议</x:v>
      </x:c>
      <x:c r="AB102" s="4" t="str">
        <x:v>最早人类演化阶段是内容中的语义年代，不等于在视频中最先出现。若视频明示读R1；事件出现顺序R3；读取年代后比较可R8。代表题归类仍需视频证据确认。</x:v>
      </x:c>
    </x:row>
    <x:row r="103" ht="66" customHeight="1">
      <x:c r="A103" s="4" t="str">
        <x:v>src.video_mme.temporal_reasoning.c01</x:v>
      </x:c>
      <x:c r="B103" s="4" t="str">
        <x:v>src.video_mme.temporal_reasoning</x:v>
      </x:c>
      <x:c r="C103" s="4" t="str">
        <x:v>Video-MME</x:v>
      </x:c>
      <x:c r="D103" s="4" t="str">
        <x:v>Temporal Reasoning</x:v>
      </x:c>
      <x:c r="E103" s="4" t="str">
        <x:v>—</x:v>
      </x:c>
      <x:c r="F103" s="4" t="str">
        <x:v>test/video_only</x:v>
      </x:c>
      <x:c r="G103" s="4" t="str">
        <x:v>video_only</x:v>
      </x:c>
      <x:c r="H103" s="4" t="str">
        <x:v>K选1</x:v>
      </x:c>
      <x:c r="I103" s="4" t="str">
        <x:v>4</x:v>
      </x:c>
      <x:c r="J103" s="4" t="str">
        <x:v>Accuracy</x:v>
      </x:c>
      <x:c r="K103" s="4" t="n">
        <x:v>177</x:v>
      </x:c>
      <x:c r="L103" s="4" t="str">
        <x:v>无</x:v>
      </x:c>
      <x:c r="M103" s="4" t="str">
        <x:v>unresolved</x:v>
      </x:c>
      <x:c r="N103" s="4" t="str">
        <x:v>unresolved</x:v>
      </x:c>
      <x:c r="O103" s="4" t="str">
        <x:v>unresolved</x:v>
      </x:c>
      <x:c r="P103" s="4" t="str">
        <x:v>unresolved</x:v>
      </x:c>
      <x:c r="Q103" s="4" t="str">
        <x:v>unresolved</x:v>
      </x:c>
      <x:c r="R103" s="4" t="str">
        <x:v>G10 | G17 | G31</x:v>
      </x:c>
      <x:c r="S103" s="4" t="str">
        <x:v>P06 | P11</x:v>
      </x:c>
      <x:c r="T103" s="4" t="n">
        <x:v>2</x:v>
      </x:c>
      <x:c r="U103" s="4" t="str">
        <x:v>待P样本拆分</x:v>
      </x:c>
      <x:c r="V103" s="4" t="str">
        <x:v>unresolved</x:v>
      </x:c>
      <x:c r="W103" s="4" t="str">
        <x:v>B1</x:v>
      </x:c>
      <x:c r="X103" s="4" t="str">
        <x:v>—</x:v>
      </x:c>
      <x:c r="Y103" s="4" t="str">
        <x:v>R6</x:v>
      </x:c>
      <x:c r="Z103" s="4" t="str">
        <x:v>R1 | R3 | R6 | R7</x:v>
      </x:c>
      <x:c r="AA103" s="4" t="str">
        <x:v>原条件原样继承，未独立验证split/样本量/预算有效性；执行先检查可用模态、query_time和官方评分协议</x:v>
      </x:c>
      <x:c r="AB103" s="4" t="str">
        <x:v>圣帕特里克节传到美国后发生了什么，可能是解说中的直接事实；真实事件顺序走R3，原因解释R6，未发生的未来推演R7。代表题按明示事实条件暂列R1。</x:v>
      </x:c>
    </x:row>
    <x:row r="104" ht="66" customHeight="1">
      <x:c r="A104" s="4" t="str">
        <x:v>src.video_mme.temporal_reasoning.c02</x:v>
      </x:c>
      <x:c r="B104" s="4" t="str">
        <x:v>src.video_mme.temporal_reasoning</x:v>
      </x:c>
      <x:c r="C104" s="4" t="str">
        <x:v>Video-MME</x:v>
      </x:c>
      <x:c r="D104" s="4" t="str">
        <x:v>Temporal Reasoning</x:v>
      </x:c>
      <x:c r="E104" s="4" t="str">
        <x:v>—</x:v>
      </x:c>
      <x:c r="F104" s="4" t="str">
        <x:v>test/with_subtitle_audio</x:v>
      </x:c>
      <x:c r="G104" s="4" t="str">
        <x:v>video+subtitle/audio</x:v>
      </x:c>
      <x:c r="H104" s="4" t="str">
        <x:v>K选1</x:v>
      </x:c>
      <x:c r="I104" s="4" t="str">
        <x:v>4</x:v>
      </x:c>
      <x:c r="J104" s="4" t="str">
        <x:v>Accuracy</x:v>
      </x:c>
      <x:c r="K104" s="4" t="n">
        <x:v>177</x:v>
      </x:c>
      <x:c r="L104" s="4" t="str">
        <x:v>无</x:v>
      </x:c>
      <x:c r="M104" s="4" t="str">
        <x:v>unresolved</x:v>
      </x:c>
      <x:c r="N104" s="4" t="str">
        <x:v>unresolved</x:v>
      </x:c>
      <x:c r="O104" s="4" t="str">
        <x:v>unresolved</x:v>
      </x:c>
      <x:c r="P104" s="4" t="str">
        <x:v>unresolved</x:v>
      </x:c>
      <x:c r="Q104" s="4" t="str">
        <x:v>unresolved</x:v>
      </x:c>
      <x:c r="R104" s="4" t="str">
        <x:v>G10 | G17 | G31</x:v>
      </x:c>
      <x:c r="S104" s="4" t="str">
        <x:v>P06 | P11</x:v>
      </x:c>
      <x:c r="T104" s="4" t="n">
        <x:v>2</x:v>
      </x:c>
      <x:c r="U104" s="4" t="str">
        <x:v>待P样本拆分</x:v>
      </x:c>
      <x:c r="V104" s="4" t="str">
        <x:v>unresolved</x:v>
      </x:c>
      <x:c r="W104" s="4" t="str">
        <x:v>B2</x:v>
      </x:c>
      <x:c r="X104" s="4" t="str">
        <x:v>—</x:v>
      </x:c>
      <x:c r="Y104" s="4" t="str">
        <x:v>R6</x:v>
      </x:c>
      <x:c r="Z104" s="4" t="str">
        <x:v>R1 | R3 | R6 | R7</x:v>
      </x:c>
      <x:c r="AA104" s="4" t="str">
        <x:v>原条件原样继承，未独立验证split/样本量/预算有效性；执行先检查可用模态、query_time和官方评分协议</x:v>
      </x:c>
      <x:c r="AB104" s="4" t="str">
        <x:v>圣帕特里克节传到美国后发生了什么，可能是解说中的直接事实；真实事件顺序走R3，原因解释R6，未发生的未来推演R7。代表题按明示事实条件暂列R1。</x:v>
      </x:c>
    </x:row>
    <x:row r="105" ht="52" customHeight="1">
      <x:c r="A105" s="4" t="str">
        <x:v>src.video_mme_v2.audio_guided_visual_description.c01</x:v>
      </x:c>
      <x:c r="B105" s="4" t="str">
        <x:v>src.video_mme_v2.audio_guided_visual_description</x:v>
      </x:c>
      <x:c r="C105" s="4" t="str">
        <x:v>Video-MME-v2</x:v>
      </x:c>
      <x:c r="D105" s="4" t="str">
        <x:v>Audio-Guided Visual Description</x:v>
      </x:c>
      <x:c r="E105" s="4" t="str">
        <x:v>—</x:v>
      </x:c>
      <x:c r="F105" s="4" t="str">
        <x:v>test/video_only</x:v>
      </x:c>
      <x:c r="G105" s="4" t="str">
        <x:v>video_only</x:v>
      </x:c>
      <x:c r="H105" s="4" t="str">
        <x:v>成组K选1</x:v>
      </x:c>
      <x:c r="I105" s="4" t="str">
        <x:v>8</x:v>
      </x:c>
      <x:c r="J105" s="4" t="str">
        <x:v>AvgAcc + Non-Linear Score</x:v>
      </x:c>
      <x:c r="K105" s="4" t="n">
        <x:v>110</x:v>
      </x:c>
      <x:c r="L105" s="4" t="str">
        <x:v>W01</x:v>
      </x:c>
      <x:c r="M105" s="4" t="str">
        <x:v>unresolved</x:v>
      </x:c>
      <x:c r="N105" s="4" t="str">
        <x:v>unresolved</x:v>
      </x:c>
      <x:c r="O105" s="4" t="str">
        <x:v>unresolved</x:v>
      </x:c>
      <x:c r="P105" s="4" t="str">
        <x:v>unresolved</x:v>
      </x:c>
      <x:c r="Q105" s="4" t="str">
        <x:v>unresolved</x:v>
      </x:c>
      <x:c r="R105" s="4" t="str">
        <x:v>G09</x:v>
      </x:c>
      <x:c r="S105" s="4" t="str">
        <x:v>P13</x:v>
      </x:c>
      <x:c r="T105" s="4" t="n">
        <x:v>1</x:v>
      </x:c>
      <x:c r="U105" s="4" t="str">
        <x:v>唯一P候选</x:v>
      </x:c>
      <x:c r="V105" s="4" t="str">
        <x:v>P13</x:v>
      </x:c>
      <x:c r="W105" s="4" t="str">
        <x:v>B1</x:v>
      </x:c>
      <x:c r="X105" s="4" t="str">
        <x:v>—</x:v>
      </x:c>
      <x:c r="Y105" s="4" t="str">
        <x:v>R1</x:v>
      </x:c>
      <x:c r="Z105" s="4" t="str">
        <x:v>R1</x:v>
      </x:c>
      <x:c r="AA105" s="4" t="str">
        <x:v>原条件原样继承，未独立验证split/样本量/预算有效性；执行先检查可用模态、query_time和官方评分协议</x:v>
      </x:c>
      <x:c r="AB105" s="4" t="str">
        <x:v>根据对话名称对齐视频中的叙事角色，需要时间对齐的音频/允许的转写与画面；不能只凭面容猜姓名。</x:v>
      </x:c>
    </x:row>
    <x:row r="106" ht="52" customHeight="1">
      <x:c r="A106" s="4" t="str">
        <x:v>src.video_mme_v2.audio_guided_visual_description.c02</x:v>
      </x:c>
      <x:c r="B106" s="4" t="str">
        <x:v>src.video_mme_v2.audio_guided_visual_description</x:v>
      </x:c>
      <x:c r="C106" s="4" t="str">
        <x:v>Video-MME-v2</x:v>
      </x:c>
      <x:c r="D106" s="4" t="str">
        <x:v>Audio-Guided Visual Description</x:v>
      </x:c>
      <x:c r="E106" s="4" t="str">
        <x:v>—</x:v>
      </x:c>
      <x:c r="F106" s="4" t="str">
        <x:v>test/with_subtitle_audio</x:v>
      </x:c>
      <x:c r="G106" s="4" t="str">
        <x:v>video+subtitle/audio</x:v>
      </x:c>
      <x:c r="H106" s="4" t="str">
        <x:v>成组K选1</x:v>
      </x:c>
      <x:c r="I106" s="4" t="str">
        <x:v>8</x:v>
      </x:c>
      <x:c r="J106" s="4" t="str">
        <x:v>AvgAcc + Non-Linear Score</x:v>
      </x:c>
      <x:c r="K106" s="4" t="n">
        <x:v>110</x:v>
      </x:c>
      <x:c r="L106" s="4" t="str">
        <x:v>W01</x:v>
      </x:c>
      <x:c r="M106" s="4" t="str">
        <x:v>unresolved</x:v>
      </x:c>
      <x:c r="N106" s="4" t="str">
        <x:v>unresolved</x:v>
      </x:c>
      <x:c r="O106" s="4" t="str">
        <x:v>unresolved</x:v>
      </x:c>
      <x:c r="P106" s="4" t="str">
        <x:v>unresolved</x:v>
      </x:c>
      <x:c r="Q106" s="4" t="str">
        <x:v>unresolved</x:v>
      </x:c>
      <x:c r="R106" s="4" t="str">
        <x:v>G09</x:v>
      </x:c>
      <x:c r="S106" s="4" t="str">
        <x:v>P13</x:v>
      </x:c>
      <x:c r="T106" s="4" t="n">
        <x:v>1</x:v>
      </x:c>
      <x:c r="U106" s="4" t="str">
        <x:v>唯一P候选</x:v>
      </x:c>
      <x:c r="V106" s="4" t="str">
        <x:v>P13</x:v>
      </x:c>
      <x:c r="W106" s="4" t="str">
        <x:v>B2</x:v>
      </x:c>
      <x:c r="X106" s="4" t="str">
        <x:v>—</x:v>
      </x:c>
      <x:c r="Y106" s="4" t="str">
        <x:v>R1</x:v>
      </x:c>
      <x:c r="Z106" s="4" t="str">
        <x:v>R1</x:v>
      </x:c>
      <x:c r="AA106" s="4" t="str">
        <x:v>原条件原样继承，未独立验证split/样本量/预算有效性；执行先检查可用模态、query_time和官方评分协议</x:v>
      </x:c>
      <x:c r="AB106" s="4" t="str">
        <x:v>根据对话名称对齐视频中的叙事角色，需要时间对齐的音频/允许的转写与画面；不能只凭面容猜姓名。</x:v>
      </x:c>
    </x:row>
    <x:row r="107" ht="80" customHeight="1">
      <x:c r="A107" s="4" t="str">
        <x:v>src.video_mme_v2.basic_counting.c01</x:v>
      </x:c>
      <x:c r="B107" s="4" t="str">
        <x:v>src.video_mme_v2.basic_counting</x:v>
      </x:c>
      <x:c r="C107" s="4" t="str">
        <x:v>Video-MME-v2</x:v>
      </x:c>
      <x:c r="D107" s="4" t="str">
        <x:v>Basic Counting</x:v>
      </x:c>
      <x:c r="E107" s="4" t="str">
        <x:v>—</x:v>
      </x:c>
      <x:c r="F107" s="4" t="str">
        <x:v>test/video_only</x:v>
      </x:c>
      <x:c r="G107" s="4" t="str">
        <x:v>video_only</x:v>
      </x:c>
      <x:c r="H107" s="4" t="str">
        <x:v>成组K选1</x:v>
      </x:c>
      <x:c r="I107" s="4" t="str">
        <x:v>3/7/8</x:v>
      </x:c>
      <x:c r="J107" s="4" t="str">
        <x:v>AvgAcc + Non-Linear Score</x:v>
      </x:c>
      <x:c r="K107" s="4" t="n">
        <x:v>146</x:v>
      </x:c>
      <x:c r="L107" s="4" t="str">
        <x:v>W01</x:v>
      </x:c>
      <x:c r="M107" s="4" t="str">
        <x:v>unresolved</x:v>
      </x:c>
      <x:c r="N107" s="4" t="str">
        <x:v>unresolved</x:v>
      </x:c>
      <x:c r="O107" s="4" t="str">
        <x:v>unresolved</x:v>
      </x:c>
      <x:c r="P107" s="4" t="str">
        <x:v>unresolved</x:v>
      </x:c>
      <x:c r="Q107" s="4" t="str">
        <x:v>unresolved</x:v>
      </x:c>
      <x:c r="R107" s="4" t="str">
        <x:v>G21 | G22</x:v>
      </x:c>
      <x:c r="S107" s="4" t="str">
        <x:v>P05</x:v>
      </x:c>
      <x:c r="T107" s="4" t="n">
        <x:v>1</x:v>
      </x:c>
      <x:c r="U107" s="4" t="str">
        <x:v>唯一P候选</x:v>
      </x:c>
      <x:c r="V107" s="4" t="str">
        <x:v>P05</x:v>
      </x:c>
      <x:c r="W107" s="4" t="str">
        <x:v>B1</x:v>
      </x:c>
      <x:c r="X107" s="4" t="str">
        <x:v>P05扫描计划仍需显式预算</x:v>
      </x:c>
      <x:c r="Y107" s="4" t="str">
        <x:v>R4</x:v>
      </x:c>
      <x:c r="Z107" s="4" t="str">
        <x:v>R3 | R4</x:v>
      </x:c>
      <x:c r="AA107" s="4" t="str">
        <x:v>原条件原样继承，未独立验证split/样本量/预算有效性；执行先检查可用模态、query_time和官方评分协议</x:v>
      </x:c>
      <x:c r="AB107" s="4" t="str">
        <x:v>论文Table 4将Basic Counting描述为静态、顺序无关计数，但官方002-1浇花次数与004-1货运车厢数量同标此类。前者R3事件次数，后者R4实例数；保留官方标签，增设执行子型。</x:v>
      </x:c>
    </x:row>
    <x:row r="108" ht="80" customHeight="1">
      <x:c r="A108" s="4" t="str">
        <x:v>src.video_mme_v2.basic_counting.c02</x:v>
      </x:c>
      <x:c r="B108" s="4" t="str">
        <x:v>src.video_mme_v2.basic_counting</x:v>
      </x:c>
      <x:c r="C108" s="4" t="str">
        <x:v>Video-MME-v2</x:v>
      </x:c>
      <x:c r="D108" s="4" t="str">
        <x:v>Basic Counting</x:v>
      </x:c>
      <x:c r="E108" s="4" t="str">
        <x:v>—</x:v>
      </x:c>
      <x:c r="F108" s="4" t="str">
        <x:v>test/with_subtitle_audio</x:v>
      </x:c>
      <x:c r="G108" s="4" t="str">
        <x:v>video+subtitle/audio</x:v>
      </x:c>
      <x:c r="H108" s="4" t="str">
        <x:v>成组K选1</x:v>
      </x:c>
      <x:c r="I108" s="4" t="str">
        <x:v>3/7/8</x:v>
      </x:c>
      <x:c r="J108" s="4" t="str">
        <x:v>AvgAcc + Non-Linear Score</x:v>
      </x:c>
      <x:c r="K108" s="4" t="n">
        <x:v>146</x:v>
      </x:c>
      <x:c r="L108" s="4" t="str">
        <x:v>W01</x:v>
      </x:c>
      <x:c r="M108" s="4" t="str">
        <x:v>unresolved</x:v>
      </x:c>
      <x:c r="N108" s="4" t="str">
        <x:v>unresolved</x:v>
      </x:c>
      <x:c r="O108" s="4" t="str">
        <x:v>unresolved</x:v>
      </x:c>
      <x:c r="P108" s="4" t="str">
        <x:v>unresolved</x:v>
      </x:c>
      <x:c r="Q108" s="4" t="str">
        <x:v>unresolved</x:v>
      </x:c>
      <x:c r="R108" s="4" t="str">
        <x:v>G21 | G22</x:v>
      </x:c>
      <x:c r="S108" s="4" t="str">
        <x:v>P05</x:v>
      </x:c>
      <x:c r="T108" s="4" t="n">
        <x:v>1</x:v>
      </x:c>
      <x:c r="U108" s="4" t="str">
        <x:v>唯一P候选</x:v>
      </x:c>
      <x:c r="V108" s="4" t="str">
        <x:v>P05</x:v>
      </x:c>
      <x:c r="W108" s="4" t="str">
        <x:v>B2</x:v>
      </x:c>
      <x:c r="X108" s="4" t="str">
        <x:v>P05扫描计划仍需显式预算</x:v>
      </x:c>
      <x:c r="Y108" s="4" t="str">
        <x:v>R4</x:v>
      </x:c>
      <x:c r="Z108" s="4" t="str">
        <x:v>R3 | R4</x:v>
      </x:c>
      <x:c r="AA108" s="4" t="str">
        <x:v>原条件原样继承，未独立验证split/样本量/预算有效性；执行先检查可用模态、query_time和官方评分协议</x:v>
      </x:c>
      <x:c r="AB108" s="4" t="str">
        <x:v>论文Table 4将Basic Counting描述为静态、顺序无关计数，但官方002-1浇花次数与004-1货运车厢数量同标此类。前者R3事件次数，后者R4实例数；保留官方标签，增设执行子型。</x:v>
      </x:c>
    </x:row>
    <x:row r="109" ht="52" customHeight="1">
      <x:c r="A109" s="4" t="str">
        <x:v>src.video_mme_v2.causal_reasoning.c01</x:v>
      </x:c>
      <x:c r="B109" s="4" t="str">
        <x:v>src.video_mme_v2.causal_reasoning</x:v>
      </x:c>
      <x:c r="C109" s="4" t="str">
        <x:v>Video-MME-v2</x:v>
      </x:c>
      <x:c r="D109" s="4" t="str">
        <x:v>Causal Reasoning</x:v>
      </x:c>
      <x:c r="E109" s="4" t="str">
        <x:v>—</x:v>
      </x:c>
      <x:c r="F109" s="4" t="str">
        <x:v>test/video_only</x:v>
      </x:c>
      <x:c r="G109" s="4" t="str">
        <x:v>video_only</x:v>
      </x:c>
      <x:c r="H109" s="4" t="str">
        <x:v>成组K选1</x:v>
      </x:c>
      <x:c r="I109" s="4" t="str">
        <x:v>7/8</x:v>
      </x:c>
      <x:c r="J109" s="4" t="str">
        <x:v>AvgAcc + Non-Linear Score</x:v>
      </x:c>
      <x:c r="K109" s="4" t="n">
        <x:v>150</x:v>
      </x:c>
      <x:c r="L109" s="4" t="str">
        <x:v>W01</x:v>
      </x:c>
      <x:c r="M109" s="4" t="str">
        <x:v>unresolved</x:v>
      </x:c>
      <x:c r="N109" s="4" t="str">
        <x:v>unresolved</x:v>
      </x:c>
      <x:c r="O109" s="4" t="str">
        <x:v>unresolved</x:v>
      </x:c>
      <x:c r="P109" s="4" t="str">
        <x:v>unresolved</x:v>
      </x:c>
      <x:c r="Q109" s="4" t="str">
        <x:v>unresolved</x:v>
      </x:c>
      <x:c r="R109" s="4" t="str">
        <x:v>G31</x:v>
      </x:c>
      <x:c r="S109" s="4" t="str">
        <x:v>P11</x:v>
      </x:c>
      <x:c r="T109" s="4" t="n">
        <x:v>1</x:v>
      </x:c>
      <x:c r="U109" s="4" t="str">
        <x:v>唯一P候选</x:v>
      </x:c>
      <x:c r="V109" s="4" t="str">
        <x:v>P11</x:v>
      </x:c>
      <x:c r="W109" s="4" t="str">
        <x:v>B1</x:v>
      </x:c>
      <x:c r="X109" s="4" t="str">
        <x:v>—</x:v>
      </x:c>
      <x:c r="Y109" s="4" t="str">
        <x:v>R6</x:v>
      </x:c>
      <x:c r="Z109" s="4" t="str">
        <x:v>R1 | R6</x:v>
      </x:c>
      <x:c r="AA109" s="4" t="str">
        <x:v>原条件原样继承，未独立验证split/样本量/预算有效性；执行先检查可用模态、query_time和官方评分协议</x:v>
      </x:c>
      <x:c r="AB109" s="4" t="str">
        <x:v>老板不让主角扮Hello Kitty需要证据约束的原因解释；若台词直接给原因，则可简化为R1。</x:v>
      </x:c>
    </x:row>
    <x:row r="110" ht="52" customHeight="1">
      <x:c r="A110" s="4" t="str">
        <x:v>src.video_mme_v2.causal_reasoning.c02</x:v>
      </x:c>
      <x:c r="B110" s="4" t="str">
        <x:v>src.video_mme_v2.causal_reasoning</x:v>
      </x:c>
      <x:c r="C110" s="4" t="str">
        <x:v>Video-MME-v2</x:v>
      </x:c>
      <x:c r="D110" s="4" t="str">
        <x:v>Causal Reasoning</x:v>
      </x:c>
      <x:c r="E110" s="4" t="str">
        <x:v>—</x:v>
      </x:c>
      <x:c r="F110" s="4" t="str">
        <x:v>test/with_subtitle_audio</x:v>
      </x:c>
      <x:c r="G110" s="4" t="str">
        <x:v>video+subtitle/audio</x:v>
      </x:c>
      <x:c r="H110" s="4" t="str">
        <x:v>成组K选1</x:v>
      </x:c>
      <x:c r="I110" s="4" t="str">
        <x:v>7/8</x:v>
      </x:c>
      <x:c r="J110" s="4" t="str">
        <x:v>AvgAcc + Non-Linear Score</x:v>
      </x:c>
      <x:c r="K110" s="4" t="n">
        <x:v>150</x:v>
      </x:c>
      <x:c r="L110" s="4" t="str">
        <x:v>W01</x:v>
      </x:c>
      <x:c r="M110" s="4" t="str">
        <x:v>unresolved</x:v>
      </x:c>
      <x:c r="N110" s="4" t="str">
        <x:v>unresolved</x:v>
      </x:c>
      <x:c r="O110" s="4" t="str">
        <x:v>unresolved</x:v>
      </x:c>
      <x:c r="P110" s="4" t="str">
        <x:v>unresolved</x:v>
      </x:c>
      <x:c r="Q110" s="4" t="str">
        <x:v>unresolved</x:v>
      </x:c>
      <x:c r="R110" s="4" t="str">
        <x:v>G31</x:v>
      </x:c>
      <x:c r="S110" s="4" t="str">
        <x:v>P11</x:v>
      </x:c>
      <x:c r="T110" s="4" t="n">
        <x:v>1</x:v>
      </x:c>
      <x:c r="U110" s="4" t="str">
        <x:v>唯一P候选</x:v>
      </x:c>
      <x:c r="V110" s="4" t="str">
        <x:v>P11</x:v>
      </x:c>
      <x:c r="W110" s="4" t="str">
        <x:v>B2</x:v>
      </x:c>
      <x:c r="X110" s="4" t="str">
        <x:v>—</x:v>
      </x:c>
      <x:c r="Y110" s="4" t="str">
        <x:v>R6</x:v>
      </x:c>
      <x:c r="Z110" s="4" t="str">
        <x:v>R1 | R6</x:v>
      </x:c>
      <x:c r="AA110" s="4" t="str">
        <x:v>原条件原样继承，未独立验证split/样本量/预算有效性；执行先检查可用模态、query_time和官方评分协议</x:v>
      </x:c>
      <x:c r="AB110" s="4" t="str">
        <x:v>老板不让主角扮Hello Kitty需要证据约束的原因解释；若台词直接给原因，则可简化为R1。</x:v>
      </x:c>
    </x:row>
    <x:row r="111" ht="52" customHeight="1">
      <x:c r="A111" s="4" t="str">
        <x:v>src.video_mme_v2.collective_dynamics_analysis.c01</x:v>
      </x:c>
      <x:c r="B111" s="4" t="str">
        <x:v>src.video_mme_v2.collective_dynamics_analysis</x:v>
      </x:c>
      <x:c r="C111" s="4" t="str">
        <x:v>Video-MME-v2</x:v>
      </x:c>
      <x:c r="D111" s="4" t="str">
        <x:v>Collective Dynamics Analysis</x:v>
      </x:c>
      <x:c r="E111" s="4" t="str">
        <x:v>—</x:v>
      </x:c>
      <x:c r="F111" s="4" t="str">
        <x:v>test/video_only</x:v>
      </x:c>
      <x:c r="G111" s="4" t="str">
        <x:v>video_only</x:v>
      </x:c>
      <x:c r="H111" s="4" t="str">
        <x:v>成组K选1</x:v>
      </x:c>
      <x:c r="I111" s="4" t="str">
        <x:v>7/8</x:v>
      </x:c>
      <x:c r="J111" s="4" t="str">
        <x:v>AvgAcc + Non-Linear Score</x:v>
      </x:c>
      <x:c r="K111" s="4" t="n">
        <x:v>74</x:v>
      </x:c>
      <x:c r="L111" s="4" t="str">
        <x:v>W01</x:v>
      </x:c>
      <x:c r="M111" s="4" t="str">
        <x:v>unresolved</x:v>
      </x:c>
      <x:c r="N111" s="4" t="str">
        <x:v>unresolved</x:v>
      </x:c>
      <x:c r="O111" s="4" t="str">
        <x:v>unresolved</x:v>
      </x:c>
      <x:c r="P111" s="4" t="str">
        <x:v>unresolved</x:v>
      </x:c>
      <x:c r="Q111" s="4" t="str">
        <x:v>unresolved</x:v>
      </x:c>
      <x:c r="R111" s="4" t="str">
        <x:v>G32</x:v>
      </x:c>
      <x:c r="S111" s="4" t="str">
        <x:v>P11</x:v>
      </x:c>
      <x:c r="T111" s="4" t="n">
        <x:v>1</x:v>
      </x:c>
      <x:c r="U111" s="4" t="str">
        <x:v>唯一P候选</x:v>
      </x:c>
      <x:c r="V111" s="4" t="str">
        <x:v>P11</x:v>
      </x:c>
      <x:c r="W111" s="4" t="str">
        <x:v>B1</x:v>
      </x:c>
      <x:c r="X111" s="4" t="str">
        <x:v>—</x:v>
      </x:c>
      <x:c r="Y111" s="4" t="str">
        <x:v>R6</x:v>
      </x:c>
      <x:c r="Z111" s="4" t="str">
        <x:v>R6</x:v>
      </x:c>
      <x:c r="AA111" s="4" t="str">
        <x:v>原条件原样继承，未独立验证split/样本量/预算有效性；执行先检查可用模态、query_time和官方评分协议</x:v>
      </x:c>
      <x:c r="AB111" s="4" t="str">
        <x:v>投资人决策动机及群体关系需要跨情境证据比较；频次只是辅助操作，不替代动机判断。</x:v>
      </x:c>
    </x:row>
    <x:row r="112" ht="52" customHeight="1">
      <x:c r="A112" s="4" t="str">
        <x:v>src.video_mme_v2.collective_dynamics_analysis.c02</x:v>
      </x:c>
      <x:c r="B112" s="4" t="str">
        <x:v>src.video_mme_v2.collective_dynamics_analysis</x:v>
      </x:c>
      <x:c r="C112" s="4" t="str">
        <x:v>Video-MME-v2</x:v>
      </x:c>
      <x:c r="D112" s="4" t="str">
        <x:v>Collective Dynamics Analysis</x:v>
      </x:c>
      <x:c r="E112" s="4" t="str">
        <x:v>—</x:v>
      </x:c>
      <x:c r="F112" s="4" t="str">
        <x:v>test/with_subtitle_audio</x:v>
      </x:c>
      <x:c r="G112" s="4" t="str">
        <x:v>video+subtitle/audio</x:v>
      </x:c>
      <x:c r="H112" s="4" t="str">
        <x:v>成组K选1</x:v>
      </x:c>
      <x:c r="I112" s="4" t="str">
        <x:v>7/8</x:v>
      </x:c>
      <x:c r="J112" s="4" t="str">
        <x:v>AvgAcc + Non-Linear Score</x:v>
      </x:c>
      <x:c r="K112" s="4" t="n">
        <x:v>74</x:v>
      </x:c>
      <x:c r="L112" s="4" t="str">
        <x:v>W01</x:v>
      </x:c>
      <x:c r="M112" s="4" t="str">
        <x:v>unresolved</x:v>
      </x:c>
      <x:c r="N112" s="4" t="str">
        <x:v>unresolved</x:v>
      </x:c>
      <x:c r="O112" s="4" t="str">
        <x:v>unresolved</x:v>
      </x:c>
      <x:c r="P112" s="4" t="str">
        <x:v>unresolved</x:v>
      </x:c>
      <x:c r="Q112" s="4" t="str">
        <x:v>unresolved</x:v>
      </x:c>
      <x:c r="R112" s="4" t="str">
        <x:v>G32</x:v>
      </x:c>
      <x:c r="S112" s="4" t="str">
        <x:v>P11</x:v>
      </x:c>
      <x:c r="T112" s="4" t="n">
        <x:v>1</x:v>
      </x:c>
      <x:c r="U112" s="4" t="str">
        <x:v>唯一P候选</x:v>
      </x:c>
      <x:c r="V112" s="4" t="str">
        <x:v>P11</x:v>
      </x:c>
      <x:c r="W112" s="4" t="str">
        <x:v>B2</x:v>
      </x:c>
      <x:c r="X112" s="4" t="str">
        <x:v>—</x:v>
      </x:c>
      <x:c r="Y112" s="4" t="str">
        <x:v>R6</x:v>
      </x:c>
      <x:c r="Z112" s="4" t="str">
        <x:v>R6</x:v>
      </x:c>
      <x:c r="AA112" s="4" t="str">
        <x:v>原条件原样继承，未独立验证split/样本量/预算有效性；执行先检查可用模态、query_time和官方评分协议</x:v>
      </x:c>
      <x:c r="AB112" s="4" t="str">
        <x:v>投资人决策动机及群体关系需要跨情境证据比较；频次只是辅助操作，不替代动机判断。</x:v>
      </x:c>
    </x:row>
    <x:row r="113" ht="52" customHeight="1">
      <x:c r="A113" s="4" t="str">
        <x:v>src.video_mme_v2.counterfactual_reasoning.c01</x:v>
      </x:c>
      <x:c r="B113" s="4" t="str">
        <x:v>src.video_mme_v2.counterfactual_reasoning</x:v>
      </x:c>
      <x:c r="C113" s="4" t="str">
        <x:v>Video-MME-v2</x:v>
      </x:c>
      <x:c r="D113" s="4" t="str">
        <x:v>Counterfactual Reasoning</x:v>
      </x:c>
      <x:c r="E113" s="4" t="str">
        <x:v>—</x:v>
      </x:c>
      <x:c r="F113" s="4" t="str">
        <x:v>test/video_only</x:v>
      </x:c>
      <x:c r="G113" s="4" t="str">
        <x:v>video_only</x:v>
      </x:c>
      <x:c r="H113" s="4" t="str">
        <x:v>成组K选1</x:v>
      </x:c>
      <x:c r="I113" s="4" t="str">
        <x:v>8</x:v>
      </x:c>
      <x:c r="J113" s="4" t="str">
        <x:v>AvgAcc + Non-Linear Score</x:v>
      </x:c>
      <x:c r="K113" s="4" t="n">
        <x:v>48</x:v>
      </x:c>
      <x:c r="L113" s="4" t="str">
        <x:v>W01</x:v>
      </x:c>
      <x:c r="M113" s="4" t="str">
        <x:v>unresolved</x:v>
      </x:c>
      <x:c r="N113" s="4" t="str">
        <x:v>unresolved</x:v>
      </x:c>
      <x:c r="O113" s="4" t="str">
        <x:v>unresolved</x:v>
      </x:c>
      <x:c r="P113" s="4" t="str">
        <x:v>unresolved</x:v>
      </x:c>
      <x:c r="Q113" s="4" t="str">
        <x:v>unresolved</x:v>
      </x:c>
      <x:c r="R113" s="4" t="str">
        <x:v>G19</x:v>
      </x:c>
      <x:c r="S113" s="4" t="str">
        <x:v>P12</x:v>
      </x:c>
      <x:c r="T113" s="4" t="n">
        <x:v>1</x:v>
      </x:c>
      <x:c r="U113" s="4" t="str">
        <x:v>唯一P候选</x:v>
      </x:c>
      <x:c r="V113" s="4" t="str">
        <x:v>P12</x:v>
      </x:c>
      <x:c r="W113" s="4" t="str">
        <x:v>B1</x:v>
      </x:c>
      <x:c r="X113" s="4" t="str">
        <x:v>—</x:v>
      </x:c>
      <x:c r="Y113" s="4" t="str">
        <x:v>R7</x:v>
      </x:c>
      <x:c r="Z113" s="4" t="str">
        <x:v>R7</x:v>
      </x:c>
      <x:c r="AA113" s="4" t="str">
        <x:v>原条件原样继承，未独立验证split/样本量/预算有效性；执行先检查可用模态、query_time和官方评分协议</x:v>
      </x:c>
      <x:c r="AB113" s="4" t="str">
        <x:v>浇花反事实先取得事实计数，再只修改假设指定变量并重算；算术是共享操作，不要求通用物理仿真器。</x:v>
      </x:c>
    </x:row>
    <x:row r="114" ht="52" customHeight="1">
      <x:c r="A114" s="4" t="str">
        <x:v>src.video_mme_v2.counterfactual_reasoning.c02</x:v>
      </x:c>
      <x:c r="B114" s="4" t="str">
        <x:v>src.video_mme_v2.counterfactual_reasoning</x:v>
      </x:c>
      <x:c r="C114" s="4" t="str">
        <x:v>Video-MME-v2</x:v>
      </x:c>
      <x:c r="D114" s="4" t="str">
        <x:v>Counterfactual Reasoning</x:v>
      </x:c>
      <x:c r="E114" s="4" t="str">
        <x:v>—</x:v>
      </x:c>
      <x:c r="F114" s="4" t="str">
        <x:v>test/with_subtitle_audio</x:v>
      </x:c>
      <x:c r="G114" s="4" t="str">
        <x:v>video+subtitle/audio</x:v>
      </x:c>
      <x:c r="H114" s="4" t="str">
        <x:v>成组K选1</x:v>
      </x:c>
      <x:c r="I114" s="4" t="str">
        <x:v>8</x:v>
      </x:c>
      <x:c r="J114" s="4" t="str">
        <x:v>AvgAcc + Non-Linear Score</x:v>
      </x:c>
      <x:c r="K114" s="4" t="n">
        <x:v>48</x:v>
      </x:c>
      <x:c r="L114" s="4" t="str">
        <x:v>W01</x:v>
      </x:c>
      <x:c r="M114" s="4" t="str">
        <x:v>unresolved</x:v>
      </x:c>
      <x:c r="N114" s="4" t="str">
        <x:v>unresolved</x:v>
      </x:c>
      <x:c r="O114" s="4" t="str">
        <x:v>unresolved</x:v>
      </x:c>
      <x:c r="P114" s="4" t="str">
        <x:v>unresolved</x:v>
      </x:c>
      <x:c r="Q114" s="4" t="str">
        <x:v>unresolved</x:v>
      </x:c>
      <x:c r="R114" s="4" t="str">
        <x:v>G19</x:v>
      </x:c>
      <x:c r="S114" s="4" t="str">
        <x:v>P12</x:v>
      </x:c>
      <x:c r="T114" s="4" t="n">
        <x:v>1</x:v>
      </x:c>
      <x:c r="U114" s="4" t="str">
        <x:v>唯一P候选</x:v>
      </x:c>
      <x:c r="V114" s="4" t="str">
        <x:v>P12</x:v>
      </x:c>
      <x:c r="W114" s="4" t="str">
        <x:v>B2</x:v>
      </x:c>
      <x:c r="X114" s="4" t="str">
        <x:v>—</x:v>
      </x:c>
      <x:c r="Y114" s="4" t="str">
        <x:v>R7</x:v>
      </x:c>
      <x:c r="Z114" s="4" t="str">
        <x:v>R7</x:v>
      </x:c>
      <x:c r="AA114" s="4" t="str">
        <x:v>原条件原样继承，未独立验证split/样本量/预算有效性；执行先检查可用模态、query_time和官方评分协议</x:v>
      </x:c>
      <x:c r="AB114" s="4" t="str">
        <x:v>浇花反事实先取得事实计数，再只修改假设指定变量并重算；算术是共享操作，不要求通用物理仿真器。</x:v>
      </x:c>
    </x:row>
    <x:row r="115" ht="52" customHeight="1">
      <x:c r="A115" s="4" t="str">
        <x:v>src.video_mme_v2.counterintuitive_comprehension.c01</x:v>
      </x:c>
      <x:c r="B115" s="4" t="str">
        <x:v>src.video_mme_v2.counterintuitive_comprehension</x:v>
      </x:c>
      <x:c r="C115" s="4" t="str">
        <x:v>Video-MME-v2</x:v>
      </x:c>
      <x:c r="D115" s="4" t="str">
        <x:v>Counterintuitive Comprehension</x:v>
      </x:c>
      <x:c r="E115" s="4" t="str">
        <x:v>—</x:v>
      </x:c>
      <x:c r="F115" s="4" t="str">
        <x:v>test/video_only</x:v>
      </x:c>
      <x:c r="G115" s="4" t="str">
        <x:v>video_only</x:v>
      </x:c>
      <x:c r="H115" s="4" t="str">
        <x:v>成组K选1</x:v>
      </x:c>
      <x:c r="I115" s="4" t="str">
        <x:v>8</x:v>
      </x:c>
      <x:c r="J115" s="4" t="str">
        <x:v>AvgAcc + Non-Linear Score</x:v>
      </x:c>
      <x:c r="K115" s="4" t="n">
        <x:v>82</x:v>
      </x:c>
      <x:c r="L115" s="4" t="str">
        <x:v>W01</x:v>
      </x:c>
      <x:c r="M115" s="4" t="str">
        <x:v>unresolved</x:v>
      </x:c>
      <x:c r="N115" s="4" t="str">
        <x:v>unresolved</x:v>
      </x:c>
      <x:c r="O115" s="4" t="str">
        <x:v>unresolved</x:v>
      </x:c>
      <x:c r="P115" s="4" t="str">
        <x:v>unresolved</x:v>
      </x:c>
      <x:c r="Q115" s="4" t="str">
        <x:v>unresolved</x:v>
      </x:c>
      <x:c r="R115" s="4" t="str">
        <x:v>G02</x:v>
      </x:c>
      <x:c r="S115" s="4" t="str">
        <x:v>P14</x:v>
      </x:c>
      <x:c r="T115" s="4" t="n">
        <x:v>1</x:v>
      </x:c>
      <x:c r="U115" s="4" t="str">
        <x:v>唯一P候选</x:v>
      </x:c>
      <x:c r="V115" s="4" t="str">
        <x:v>P14</x:v>
      </x:c>
      <x:c r="W115" s="4" t="str">
        <x:v>B1</x:v>
      </x:c>
      <x:c r="X115" s="4" t="str">
        <x:v>—</x:v>
      </x:c>
      <x:c r="Y115" s="4" t="str">
        <x:v>R6</x:v>
      </x:c>
      <x:c r="Z115" s="4" t="str">
        <x:v>R1 | R6</x:v>
      </x:c>
      <x:c r="AA115" s="4" t="str">
        <x:v>原条件原样继承，未独立验证split/样本量/预算有效性；执行先检查可用模态、query_time和官方评分协议</x:v>
      </x:c>
      <x:c r="AB115" s="4" t="str">
        <x:v>乐团场景哪个对象/现象异常可能直接可见，先走R1；解释违背何种物理/社会预期才需R6。代表题是否直接可见仍待视频确认。</x:v>
      </x:c>
    </x:row>
    <x:row r="116" ht="52" customHeight="1">
      <x:c r="A116" s="4" t="str">
        <x:v>src.video_mme_v2.counterintuitive_comprehension.c02</x:v>
      </x:c>
      <x:c r="B116" s="4" t="str">
        <x:v>src.video_mme_v2.counterintuitive_comprehension</x:v>
      </x:c>
      <x:c r="C116" s="4" t="str">
        <x:v>Video-MME-v2</x:v>
      </x:c>
      <x:c r="D116" s="4" t="str">
        <x:v>Counterintuitive Comprehension</x:v>
      </x:c>
      <x:c r="E116" s="4" t="str">
        <x:v>—</x:v>
      </x:c>
      <x:c r="F116" s="4" t="str">
        <x:v>test/with_subtitle_audio</x:v>
      </x:c>
      <x:c r="G116" s="4" t="str">
        <x:v>video+subtitle/audio</x:v>
      </x:c>
      <x:c r="H116" s="4" t="str">
        <x:v>成组K选1</x:v>
      </x:c>
      <x:c r="I116" s="4" t="str">
        <x:v>8</x:v>
      </x:c>
      <x:c r="J116" s="4" t="str">
        <x:v>AvgAcc + Non-Linear Score</x:v>
      </x:c>
      <x:c r="K116" s="4" t="n">
        <x:v>82</x:v>
      </x:c>
      <x:c r="L116" s="4" t="str">
        <x:v>W01</x:v>
      </x:c>
      <x:c r="M116" s="4" t="str">
        <x:v>unresolved</x:v>
      </x:c>
      <x:c r="N116" s="4" t="str">
        <x:v>unresolved</x:v>
      </x:c>
      <x:c r="O116" s="4" t="str">
        <x:v>unresolved</x:v>
      </x:c>
      <x:c r="P116" s="4" t="str">
        <x:v>unresolved</x:v>
      </x:c>
      <x:c r="Q116" s="4" t="str">
        <x:v>unresolved</x:v>
      </x:c>
      <x:c r="R116" s="4" t="str">
        <x:v>G02</x:v>
      </x:c>
      <x:c r="S116" s="4" t="str">
        <x:v>P14</x:v>
      </x:c>
      <x:c r="T116" s="4" t="n">
        <x:v>1</x:v>
      </x:c>
      <x:c r="U116" s="4" t="str">
        <x:v>唯一P候选</x:v>
      </x:c>
      <x:c r="V116" s="4" t="str">
        <x:v>P14</x:v>
      </x:c>
      <x:c r="W116" s="4" t="str">
        <x:v>B2</x:v>
      </x:c>
      <x:c r="X116" s="4" t="str">
        <x:v>—</x:v>
      </x:c>
      <x:c r="Y116" s="4" t="str">
        <x:v>R6</x:v>
      </x:c>
      <x:c r="Z116" s="4" t="str">
        <x:v>R1 | R6</x:v>
      </x:c>
      <x:c r="AA116" s="4" t="str">
        <x:v>原条件原样继承，未独立验证split/样本量/预算有效性；执行先检查可用模态、query_time和官方评分协议</x:v>
      </x:c>
      <x:c r="AB116" s="4" t="str">
        <x:v>乐团场景哪个对象/现象异常可能直接可见，先走R1；解释违背何种物理/社会预期才需R6。代表题是否直接可见仍待视频确认。</x:v>
      </x:c>
    </x:row>
    <x:row r="117" ht="52" customHeight="1">
      <x:c r="A117" s="4" t="str">
        <x:v>src.video_mme_v2.cross_modal_semantic_consistency.c01</x:v>
      </x:c>
      <x:c r="B117" s="4" t="str">
        <x:v>src.video_mme_v2.cross_modal_semantic_consistency</x:v>
      </x:c>
      <x:c r="C117" s="4" t="str">
        <x:v>Video-MME-v2</x:v>
      </x:c>
      <x:c r="D117" s="4" t="str">
        <x:v>Cross-Modal Semantic Consistency</x:v>
      </x:c>
      <x:c r="E117" s="4" t="str">
        <x:v>—</x:v>
      </x:c>
      <x:c r="F117" s="4" t="str">
        <x:v>test/video_only</x:v>
      </x:c>
      <x:c r="G117" s="4" t="str">
        <x:v>video_only</x:v>
      </x:c>
      <x:c r="H117" s="4" t="str">
        <x:v>成组K选1</x:v>
      </x:c>
      <x:c r="I117" s="4" t="str">
        <x:v>8</x:v>
      </x:c>
      <x:c r="J117" s="4" t="str">
        <x:v>AvgAcc + Non-Linear Score</x:v>
      </x:c>
      <x:c r="K117" s="4" t="n">
        <x:v>95</x:v>
      </x:c>
      <x:c r="L117" s="4" t="str">
        <x:v>W01</x:v>
      </x:c>
      <x:c r="M117" s="4" t="str">
        <x:v>unresolved</x:v>
      </x:c>
      <x:c r="N117" s="4" t="str">
        <x:v>unresolved</x:v>
      </x:c>
      <x:c r="O117" s="4" t="str">
        <x:v>unresolved</x:v>
      </x:c>
      <x:c r="P117" s="4" t="str">
        <x:v>unresolved</x:v>
      </x:c>
      <x:c r="Q117" s="4" t="str">
        <x:v>unresolved</x:v>
      </x:c>
      <x:c r="R117" s="4" t="str">
        <x:v>G09</x:v>
      </x:c>
      <x:c r="S117" s="4" t="str">
        <x:v>P13</x:v>
      </x:c>
      <x:c r="T117" s="4" t="n">
        <x:v>1</x:v>
      </x:c>
      <x:c r="U117" s="4" t="str">
        <x:v>唯一P候选</x:v>
      </x:c>
      <x:c r="V117" s="4" t="str">
        <x:v>P13</x:v>
      </x:c>
      <x:c r="W117" s="4" t="str">
        <x:v>B1</x:v>
      </x:c>
      <x:c r="X117" s="4" t="str">
        <x:v>—</x:v>
      </x:c>
      <x:c r="Y117" s="4" t="str">
        <x:v>R6</x:v>
      </x:c>
      <x:c r="Z117" s="4" t="str">
        <x:v>R6</x:v>
      </x:c>
      <x:c r="AA117" s="4" t="str">
        <x:v>原条件原样继承，未独立验证split/样本量/预算有效性；执行先检查可用模态、query_time和官方评分协议</x:v>
      </x:c>
      <x:c r="AB117" s="4" t="str">
        <x:v>画面与配乐情绪/含义是否一致需要跨模态语义比较；ASR文本不能替代音乐线索。</x:v>
      </x:c>
    </x:row>
    <x:row r="118" ht="52" customHeight="1">
      <x:c r="A118" s="4" t="str">
        <x:v>src.video_mme_v2.cross_modal_semantic_consistency.c02</x:v>
      </x:c>
      <x:c r="B118" s="4" t="str">
        <x:v>src.video_mme_v2.cross_modal_semantic_consistency</x:v>
      </x:c>
      <x:c r="C118" s="4" t="str">
        <x:v>Video-MME-v2</x:v>
      </x:c>
      <x:c r="D118" s="4" t="str">
        <x:v>Cross-Modal Semantic Consistency</x:v>
      </x:c>
      <x:c r="E118" s="4" t="str">
        <x:v>—</x:v>
      </x:c>
      <x:c r="F118" s="4" t="str">
        <x:v>test/with_subtitle_audio</x:v>
      </x:c>
      <x:c r="G118" s="4" t="str">
        <x:v>video+subtitle/audio</x:v>
      </x:c>
      <x:c r="H118" s="4" t="str">
        <x:v>成组K选1</x:v>
      </x:c>
      <x:c r="I118" s="4" t="str">
        <x:v>8</x:v>
      </x:c>
      <x:c r="J118" s="4" t="str">
        <x:v>AvgAcc + Non-Linear Score</x:v>
      </x:c>
      <x:c r="K118" s="4" t="n">
        <x:v>95</x:v>
      </x:c>
      <x:c r="L118" s="4" t="str">
        <x:v>W01</x:v>
      </x:c>
      <x:c r="M118" s="4" t="str">
        <x:v>unresolved</x:v>
      </x:c>
      <x:c r="N118" s="4" t="str">
        <x:v>unresolved</x:v>
      </x:c>
      <x:c r="O118" s="4" t="str">
        <x:v>unresolved</x:v>
      </x:c>
      <x:c r="P118" s="4" t="str">
        <x:v>unresolved</x:v>
      </x:c>
      <x:c r="Q118" s="4" t="str">
        <x:v>unresolved</x:v>
      </x:c>
      <x:c r="R118" s="4" t="str">
        <x:v>G09</x:v>
      </x:c>
      <x:c r="S118" s="4" t="str">
        <x:v>P13</x:v>
      </x:c>
      <x:c r="T118" s="4" t="n">
        <x:v>1</x:v>
      </x:c>
      <x:c r="U118" s="4" t="str">
        <x:v>唯一P候选</x:v>
      </x:c>
      <x:c r="V118" s="4" t="str">
        <x:v>P13</x:v>
      </x:c>
      <x:c r="W118" s="4" t="str">
        <x:v>B2</x:v>
      </x:c>
      <x:c r="X118" s="4" t="str">
        <x:v>—</x:v>
      </x:c>
      <x:c r="Y118" s="4" t="str">
        <x:v>R6</x:v>
      </x:c>
      <x:c r="Z118" s="4" t="str">
        <x:v>R6</x:v>
      </x:c>
      <x:c r="AA118" s="4" t="str">
        <x:v>原条件原样继承，未独立验证split/样本量/预算有效性；执行先检查可用模态、query_time和官方评分协议</x:v>
      </x:c>
      <x:c r="AB118" s="4" t="str">
        <x:v>画面与配乐情绪/含义是否一致需要跨模态语义比较；ASR文本不能替代音乐线索。</x:v>
      </x:c>
    </x:row>
    <x:row r="119" ht="52" customHeight="1">
      <x:c r="A119" s="4" t="str">
        <x:v>src.video_mme_v2.dyadic_interaction_dynamics.c01</x:v>
      </x:c>
      <x:c r="B119" s="4" t="str">
        <x:v>src.video_mme_v2.dyadic_interaction_dynamics</x:v>
      </x:c>
      <x:c r="C119" s="4" t="str">
        <x:v>Video-MME-v2</x:v>
      </x:c>
      <x:c r="D119" s="4" t="str">
        <x:v>Dyadic Interaction Dynamics</x:v>
      </x:c>
      <x:c r="E119" s="4" t="str">
        <x:v>—</x:v>
      </x:c>
      <x:c r="F119" s="4" t="str">
        <x:v>test/video_only</x:v>
      </x:c>
      <x:c r="G119" s="4" t="str">
        <x:v>video_only</x:v>
      </x:c>
      <x:c r="H119" s="4" t="str">
        <x:v>成组K选1</x:v>
      </x:c>
      <x:c r="I119" s="4" t="str">
        <x:v>8</x:v>
      </x:c>
      <x:c r="J119" s="4" t="str">
        <x:v>AvgAcc + Non-Linear Score</x:v>
      </x:c>
      <x:c r="K119" s="4" t="n">
        <x:v>88</x:v>
      </x:c>
      <x:c r="L119" s="4" t="str">
        <x:v>W01</x:v>
      </x:c>
      <x:c r="M119" s="4" t="str">
        <x:v>unresolved</x:v>
      </x:c>
      <x:c r="N119" s="4" t="str">
        <x:v>unresolved</x:v>
      </x:c>
      <x:c r="O119" s="4" t="str">
        <x:v>unresolved</x:v>
      </x:c>
      <x:c r="P119" s="4" t="str">
        <x:v>unresolved</x:v>
      </x:c>
      <x:c r="Q119" s="4" t="str">
        <x:v>unresolved</x:v>
      </x:c>
      <x:c r="R119" s="4" t="str">
        <x:v>G32</x:v>
      </x:c>
      <x:c r="S119" s="4" t="str">
        <x:v>P11</x:v>
      </x:c>
      <x:c r="T119" s="4" t="n">
        <x:v>1</x:v>
      </x:c>
      <x:c r="U119" s="4" t="str">
        <x:v>唯一P候选</x:v>
      </x:c>
      <x:c r="V119" s="4" t="str">
        <x:v>P11</x:v>
      </x:c>
      <x:c r="W119" s="4" t="str">
        <x:v>B1</x:v>
      </x:c>
      <x:c r="X119" s="4" t="str">
        <x:v>—</x:v>
      </x:c>
      <x:c r="Y119" s="4" t="str">
        <x:v>R6</x:v>
      </x:c>
      <x:c r="Z119" s="4" t="str">
        <x:v>R1 | R6</x:v>
      </x:c>
      <x:c r="AA119" s="4" t="str">
        <x:v>原条件原样继承，未独立验证split/样本量/预算有效性；执行先检查可用模态、query_time和官方评分协议</x:v>
      </x:c>
      <x:c r="AB119" s="4" t="str">
        <x:v>两人初期关系通常依赖互动或对话解释；明确称谓事实可R1，不强制所有关系题建大图。</x:v>
      </x:c>
    </x:row>
    <x:row r="120" ht="52" customHeight="1">
      <x:c r="A120" s="4" t="str">
        <x:v>src.video_mme_v2.dyadic_interaction_dynamics.c02</x:v>
      </x:c>
      <x:c r="B120" s="4" t="str">
        <x:v>src.video_mme_v2.dyadic_interaction_dynamics</x:v>
      </x:c>
      <x:c r="C120" s="4" t="str">
        <x:v>Video-MME-v2</x:v>
      </x:c>
      <x:c r="D120" s="4" t="str">
        <x:v>Dyadic Interaction Dynamics</x:v>
      </x:c>
      <x:c r="E120" s="4" t="str">
        <x:v>—</x:v>
      </x:c>
      <x:c r="F120" s="4" t="str">
        <x:v>test/with_subtitle_audio</x:v>
      </x:c>
      <x:c r="G120" s="4" t="str">
        <x:v>video+subtitle/audio</x:v>
      </x:c>
      <x:c r="H120" s="4" t="str">
        <x:v>成组K选1</x:v>
      </x:c>
      <x:c r="I120" s="4" t="str">
        <x:v>8</x:v>
      </x:c>
      <x:c r="J120" s="4" t="str">
        <x:v>AvgAcc + Non-Linear Score</x:v>
      </x:c>
      <x:c r="K120" s="4" t="n">
        <x:v>88</x:v>
      </x:c>
      <x:c r="L120" s="4" t="str">
        <x:v>W01</x:v>
      </x:c>
      <x:c r="M120" s="4" t="str">
        <x:v>unresolved</x:v>
      </x:c>
      <x:c r="N120" s="4" t="str">
        <x:v>unresolved</x:v>
      </x:c>
      <x:c r="O120" s="4" t="str">
        <x:v>unresolved</x:v>
      </x:c>
      <x:c r="P120" s="4" t="str">
        <x:v>unresolved</x:v>
      </x:c>
      <x:c r="Q120" s="4" t="str">
        <x:v>unresolved</x:v>
      </x:c>
      <x:c r="R120" s="4" t="str">
        <x:v>G32</x:v>
      </x:c>
      <x:c r="S120" s="4" t="str">
        <x:v>P11</x:v>
      </x:c>
      <x:c r="T120" s="4" t="n">
        <x:v>1</x:v>
      </x:c>
      <x:c r="U120" s="4" t="str">
        <x:v>唯一P候选</x:v>
      </x:c>
      <x:c r="V120" s="4" t="str">
        <x:v>P11</x:v>
      </x:c>
      <x:c r="W120" s="4" t="str">
        <x:v>B2</x:v>
      </x:c>
      <x:c r="X120" s="4" t="str">
        <x:v>—</x:v>
      </x:c>
      <x:c r="Y120" s="4" t="str">
        <x:v>R6</x:v>
      </x:c>
      <x:c r="Z120" s="4" t="str">
        <x:v>R1 | R6</x:v>
      </x:c>
      <x:c r="AA120" s="4" t="str">
        <x:v>原条件原样继承，未独立验证split/样本量/预算有效性；执行先检查可用模态、query_time和官方评分协议</x:v>
      </x:c>
      <x:c r="AB120" s="4" t="str">
        <x:v>两人初期关系通常依赖互动或对话解释；明确称谓事实可R1，不强制所有关系题建大图。</x:v>
      </x:c>
    </x:row>
    <x:row r="121" ht="52" customHeight="1">
      <x:c r="A121" s="4" t="str">
        <x:v>src.video_mme_v2.entity_attribute_change_detection.c01</x:v>
      </x:c>
      <x:c r="B121" s="4" t="str">
        <x:v>src.video_mme_v2.entity_attribute_change_detection</x:v>
      </x:c>
      <x:c r="C121" s="4" t="str">
        <x:v>Video-MME-v2</x:v>
      </x:c>
      <x:c r="D121" s="4" t="str">
        <x:v>Entity Attribute Change Detection</x:v>
      </x:c>
      <x:c r="E121" s="4" t="str">
        <x:v>—</x:v>
      </x:c>
      <x:c r="F121" s="4" t="str">
        <x:v>test/video_only</x:v>
      </x:c>
      <x:c r="G121" s="4" t="str">
        <x:v>video_only</x:v>
      </x:c>
      <x:c r="H121" s="4" t="str">
        <x:v>成组K选1</x:v>
      </x:c>
      <x:c r="I121" s="4" t="str">
        <x:v>2/7/8</x:v>
      </x:c>
      <x:c r="J121" s="4" t="str">
        <x:v>AvgAcc + Non-Linear Score</x:v>
      </x:c>
      <x:c r="K121" s="4" t="n">
        <x:v>125</x:v>
      </x:c>
      <x:c r="L121" s="4" t="str">
        <x:v>W01</x:v>
      </x:c>
      <x:c r="M121" s="4" t="str">
        <x:v>unresolved</x:v>
      </x:c>
      <x:c r="N121" s="4" t="str">
        <x:v>unresolved</x:v>
      </x:c>
      <x:c r="O121" s="4" t="str">
        <x:v>unresolved</x:v>
      </x:c>
      <x:c r="P121" s="4" t="str">
        <x:v>unresolved</x:v>
      </x:c>
      <x:c r="Q121" s="4" t="str">
        <x:v>unresolved</x:v>
      </x:c>
      <x:c r="R121" s="4" t="str">
        <x:v>G04</x:v>
      </x:c>
      <x:c r="S121" s="4" t="str">
        <x:v>P06</x:v>
      </x:c>
      <x:c r="T121" s="4" t="n">
        <x:v>1</x:v>
      </x:c>
      <x:c r="U121" s="4" t="str">
        <x:v>唯一P候选</x:v>
      </x:c>
      <x:c r="V121" s="4" t="str">
        <x:v>P06</x:v>
      </x:c>
      <x:c r="W121" s="4" t="str">
        <x:v>B1</x:v>
      </x:c>
      <x:c r="X121" s="4" t="str">
        <x:v>—</x:v>
      </x:c>
      <x:c r="Y121" s="4" t="str">
        <x:v>R2</x:v>
      </x:c>
      <x:c r="Z121" s="4" t="str">
        <x:v>R2</x:v>
      </x:c>
      <x:c r="AA121" s="4" t="str">
        <x:v>原条件原样继承，未独立验证split/样本量/预算有效性；执行先检查可用模态、query_time和官方评分协议</x:v>
      </x:c>
      <x:c r="AB121" s="4" t="str">
        <x:v>追踪同一玉米的属性前后变化；可按问题只比较端点，但需身份一致。</x:v>
      </x:c>
    </x:row>
    <x:row r="122" ht="52" customHeight="1">
      <x:c r="A122" s="4" t="str">
        <x:v>src.video_mme_v2.entity_attribute_change_detection.c02</x:v>
      </x:c>
      <x:c r="B122" s="4" t="str">
        <x:v>src.video_mme_v2.entity_attribute_change_detection</x:v>
      </x:c>
      <x:c r="C122" s="4" t="str">
        <x:v>Video-MME-v2</x:v>
      </x:c>
      <x:c r="D122" s="4" t="str">
        <x:v>Entity Attribute Change Detection</x:v>
      </x:c>
      <x:c r="E122" s="4" t="str">
        <x:v>—</x:v>
      </x:c>
      <x:c r="F122" s="4" t="str">
        <x:v>test/with_subtitle_audio</x:v>
      </x:c>
      <x:c r="G122" s="4" t="str">
        <x:v>video+subtitle/audio</x:v>
      </x:c>
      <x:c r="H122" s="4" t="str">
        <x:v>成组K选1</x:v>
      </x:c>
      <x:c r="I122" s="4" t="str">
        <x:v>2/7/8</x:v>
      </x:c>
      <x:c r="J122" s="4" t="str">
        <x:v>AvgAcc + Non-Linear Score</x:v>
      </x:c>
      <x:c r="K122" s="4" t="n">
        <x:v>125</x:v>
      </x:c>
      <x:c r="L122" s="4" t="str">
        <x:v>W01</x:v>
      </x:c>
      <x:c r="M122" s="4" t="str">
        <x:v>unresolved</x:v>
      </x:c>
      <x:c r="N122" s="4" t="str">
        <x:v>unresolved</x:v>
      </x:c>
      <x:c r="O122" s="4" t="str">
        <x:v>unresolved</x:v>
      </x:c>
      <x:c r="P122" s="4" t="str">
        <x:v>unresolved</x:v>
      </x:c>
      <x:c r="Q122" s="4" t="str">
        <x:v>unresolved</x:v>
      </x:c>
      <x:c r="R122" s="4" t="str">
        <x:v>G04</x:v>
      </x:c>
      <x:c r="S122" s="4" t="str">
        <x:v>P06</x:v>
      </x:c>
      <x:c r="T122" s="4" t="n">
        <x:v>1</x:v>
      </x:c>
      <x:c r="U122" s="4" t="str">
        <x:v>唯一P候选</x:v>
      </x:c>
      <x:c r="V122" s="4" t="str">
        <x:v>P06</x:v>
      </x:c>
      <x:c r="W122" s="4" t="str">
        <x:v>B2</x:v>
      </x:c>
      <x:c r="X122" s="4" t="str">
        <x:v>—</x:v>
      </x:c>
      <x:c r="Y122" s="4" t="str">
        <x:v>R2</x:v>
      </x:c>
      <x:c r="Z122" s="4" t="str">
        <x:v>R2</x:v>
      </x:c>
      <x:c r="AA122" s="4" t="str">
        <x:v>原条件原样继承，未独立验证split/样本量/预算有效性；执行先检查可用模态、query_time和官方评分协议</x:v>
      </x:c>
      <x:c r="AB122" s="4" t="str">
        <x:v>追踪同一玉米的属性前后变化；可按问题只比较端点，但需身份一致。</x:v>
      </x:c>
    </x:row>
    <x:row r="123" ht="52" customHeight="1">
      <x:c r="A123" s="4" t="str">
        <x:v>src.video_mme_v2.entity_existence_change_detection.c01</x:v>
      </x:c>
      <x:c r="B123" s="4" t="str">
        <x:v>src.video_mme_v2.entity_existence_change_detection</x:v>
      </x:c>
      <x:c r="C123" s="4" t="str">
        <x:v>Video-MME-v2</x:v>
      </x:c>
      <x:c r="D123" s="4" t="str">
        <x:v>Entity Existence Change Detection</x:v>
      </x:c>
      <x:c r="E123" s="4" t="str">
        <x:v>—</x:v>
      </x:c>
      <x:c r="F123" s="4" t="str">
        <x:v>test/video_only</x:v>
      </x:c>
      <x:c r="G123" s="4" t="str">
        <x:v>video_only</x:v>
      </x:c>
      <x:c r="H123" s="4" t="str">
        <x:v>成组K选1</x:v>
      </x:c>
      <x:c r="I123" s="4" t="str">
        <x:v>8</x:v>
      </x:c>
      <x:c r="J123" s="4" t="str">
        <x:v>AvgAcc + Non-Linear Score</x:v>
      </x:c>
      <x:c r="K123" s="4" t="n">
        <x:v>62</x:v>
      </x:c>
      <x:c r="L123" s="4" t="str">
        <x:v>W01</x:v>
      </x:c>
      <x:c r="M123" s="4" t="str">
        <x:v>unresolved</x:v>
      </x:c>
      <x:c r="N123" s="4" t="str">
        <x:v>unresolved</x:v>
      </x:c>
      <x:c r="O123" s="4" t="str">
        <x:v>unresolved</x:v>
      </x:c>
      <x:c r="P123" s="4" t="str">
        <x:v>unresolved</x:v>
      </x:c>
      <x:c r="Q123" s="4" t="str">
        <x:v>unresolved</x:v>
      </x:c>
      <x:c r="R123" s="4" t="str">
        <x:v>G04 | G23</x:v>
      </x:c>
      <x:c r="S123" s="4" t="str">
        <x:v>P02 | P06</x:v>
      </x:c>
      <x:c r="T123" s="4" t="n">
        <x:v>2</x:v>
      </x:c>
      <x:c r="U123" s="4" t="str">
        <x:v>待P样本拆分</x:v>
      </x:c>
      <x:c r="V123" s="4" t="str">
        <x:v>unresolved</x:v>
      </x:c>
      <x:c r="W123" s="4" t="str">
        <x:v>B1</x:v>
      </x:c>
      <x:c r="X123" s="4" t="str">
        <x:v>—</x:v>
      </x:c>
      <x:c r="Y123" s="4" t="str">
        <x:v>R2</x:v>
      </x:c>
      <x:c r="Z123" s="4" t="str">
        <x:v>R2 | R3 | R4</x:v>
      </x:c>
      <x:c r="AA123" s="4" t="str">
        <x:v>原条件原样继承，未独立验证split/样本量/预算有效性；执行先检查可用模态、query_time和官方评分协议</x:v>
      </x:c>
      <x:c r="AB123" s="4" t="str">
        <x:v>代表题问多少只鸟飞出视野，计数单位为鸟的实例，R4并调用追踪；问同一鸟飞出几次则R3；仅问实体进出变化则R2。</x:v>
      </x:c>
    </x:row>
    <x:row r="124" ht="52" customHeight="1">
      <x:c r="A124" s="4" t="str">
        <x:v>src.video_mme_v2.entity_existence_change_detection.c02</x:v>
      </x:c>
      <x:c r="B124" s="4" t="str">
        <x:v>src.video_mme_v2.entity_existence_change_detection</x:v>
      </x:c>
      <x:c r="C124" s="4" t="str">
        <x:v>Video-MME-v2</x:v>
      </x:c>
      <x:c r="D124" s="4" t="str">
        <x:v>Entity Existence Change Detection</x:v>
      </x:c>
      <x:c r="E124" s="4" t="str">
        <x:v>—</x:v>
      </x:c>
      <x:c r="F124" s="4" t="str">
        <x:v>test/with_subtitle_audio</x:v>
      </x:c>
      <x:c r="G124" s="4" t="str">
        <x:v>video+subtitle/audio</x:v>
      </x:c>
      <x:c r="H124" s="4" t="str">
        <x:v>成组K选1</x:v>
      </x:c>
      <x:c r="I124" s="4" t="str">
        <x:v>8</x:v>
      </x:c>
      <x:c r="J124" s="4" t="str">
        <x:v>AvgAcc + Non-Linear Score</x:v>
      </x:c>
      <x:c r="K124" s="4" t="n">
        <x:v>62</x:v>
      </x:c>
      <x:c r="L124" s="4" t="str">
        <x:v>W01</x:v>
      </x:c>
      <x:c r="M124" s="4" t="str">
        <x:v>unresolved</x:v>
      </x:c>
      <x:c r="N124" s="4" t="str">
        <x:v>unresolved</x:v>
      </x:c>
      <x:c r="O124" s="4" t="str">
        <x:v>unresolved</x:v>
      </x:c>
      <x:c r="P124" s="4" t="str">
        <x:v>unresolved</x:v>
      </x:c>
      <x:c r="Q124" s="4" t="str">
        <x:v>unresolved</x:v>
      </x:c>
      <x:c r="R124" s="4" t="str">
        <x:v>G04 | G23</x:v>
      </x:c>
      <x:c r="S124" s="4" t="str">
        <x:v>P02 | P06</x:v>
      </x:c>
      <x:c r="T124" s="4" t="n">
        <x:v>2</x:v>
      </x:c>
      <x:c r="U124" s="4" t="str">
        <x:v>待P样本拆分</x:v>
      </x:c>
      <x:c r="V124" s="4" t="str">
        <x:v>unresolved</x:v>
      </x:c>
      <x:c r="W124" s="4" t="str">
        <x:v>B2</x:v>
      </x:c>
      <x:c r="X124" s="4" t="str">
        <x:v>—</x:v>
      </x:c>
      <x:c r="Y124" s="4" t="str">
        <x:v>R2</x:v>
      </x:c>
      <x:c r="Z124" s="4" t="str">
        <x:v>R2 | R3 | R4</x:v>
      </x:c>
      <x:c r="AA124" s="4" t="str">
        <x:v>原条件原样继承，未独立验证split/样本量/预算有效性；执行先检查可用模态、query_time和官方评分协议</x:v>
      </x:c>
      <x:c r="AB124" s="4" t="str">
        <x:v>代表题问多少只鸟飞出视野，计数单位为鸟的实例，R4并调用追踪；问同一鸟飞出几次则R3；仅问实体进出变化则R2。</x:v>
      </x:c>
    </x:row>
    <x:row r="125" ht="52" customHeight="1">
      <x:c r="A125" s="4" t="str">
        <x:v>src.video_mme_v2.entity_persistence_tracking.c01</x:v>
      </x:c>
      <x:c r="B125" s="4" t="str">
        <x:v>src.video_mme_v2.entity_persistence_tracking</x:v>
      </x:c>
      <x:c r="C125" s="4" t="str">
        <x:v>Video-MME-v2</x:v>
      </x:c>
      <x:c r="D125" s="4" t="str">
        <x:v>Entity Persistence Tracking</x:v>
      </x:c>
      <x:c r="E125" s="4" t="str">
        <x:v>—</x:v>
      </x:c>
      <x:c r="F125" s="4" t="str">
        <x:v>test/video_only</x:v>
      </x:c>
      <x:c r="G125" s="4" t="str">
        <x:v>video_only</x:v>
      </x:c>
      <x:c r="H125" s="4" t="str">
        <x:v>成组K选1</x:v>
      </x:c>
      <x:c r="I125" s="4" t="str">
        <x:v>3/8</x:v>
      </x:c>
      <x:c r="J125" s="4" t="str">
        <x:v>AvgAcc + Non-Linear Score</x:v>
      </x:c>
      <x:c r="K125" s="4" t="n">
        <x:v>73</x:v>
      </x:c>
      <x:c r="L125" s="4" t="str">
        <x:v>W01</x:v>
      </x:c>
      <x:c r="M125" s="4" t="str">
        <x:v>unresolved</x:v>
      </x:c>
      <x:c r="N125" s="4" t="str">
        <x:v>unresolved</x:v>
      </x:c>
      <x:c r="O125" s="4" t="str">
        <x:v>unresolved</x:v>
      </x:c>
      <x:c r="P125" s="4" t="str">
        <x:v>unresolved</x:v>
      </x:c>
      <x:c r="Q125" s="4" t="str">
        <x:v>unresolved</x:v>
      </x:c>
      <x:c r="R125" s="4" t="str">
        <x:v>G05</x:v>
      </x:c>
      <x:c r="S125" s="4" t="str">
        <x:v>P02</x:v>
      </x:c>
      <x:c r="T125" s="4" t="n">
        <x:v>1</x:v>
      </x:c>
      <x:c r="U125" s="4" t="str">
        <x:v>唯一P候选</x:v>
      </x:c>
      <x:c r="V125" s="4" t="str">
        <x:v>P02</x:v>
      </x:c>
      <x:c r="W125" s="4" t="str">
        <x:v>B1</x:v>
      </x:c>
      <x:c r="X125" s="4" t="str">
        <x:v>—</x:v>
      </x:c>
      <x:c r="Y125" s="4" t="str">
        <x:v>R2</x:v>
      </x:c>
      <x:c r="Z125" s="4" t="str">
        <x:v>R2</x:v>
      </x:c>
      <x:c r="AA125" s="4" t="str">
        <x:v>原条件原样继承，未独立验证split/样本量/预算有效性；执行先检查可用模态、query_time和官方评分协议</x:v>
      </x:c>
      <x:c r="AB125" s="4" t="str">
        <x:v>杯壳交换期间维持目标身份并处理遮挡；不能用彼此无关的静态帧识别代替。</x:v>
      </x:c>
    </x:row>
    <x:row r="126" ht="52" customHeight="1">
      <x:c r="A126" s="4" t="str">
        <x:v>src.video_mme_v2.entity_persistence_tracking.c02</x:v>
      </x:c>
      <x:c r="B126" s="4" t="str">
        <x:v>src.video_mme_v2.entity_persistence_tracking</x:v>
      </x:c>
      <x:c r="C126" s="4" t="str">
        <x:v>Video-MME-v2</x:v>
      </x:c>
      <x:c r="D126" s="4" t="str">
        <x:v>Entity Persistence Tracking</x:v>
      </x:c>
      <x:c r="E126" s="4" t="str">
        <x:v>—</x:v>
      </x:c>
      <x:c r="F126" s="4" t="str">
        <x:v>test/with_subtitle_audio</x:v>
      </x:c>
      <x:c r="G126" s="4" t="str">
        <x:v>video+subtitle/audio</x:v>
      </x:c>
      <x:c r="H126" s="4" t="str">
        <x:v>成组K选1</x:v>
      </x:c>
      <x:c r="I126" s="4" t="str">
        <x:v>3/8</x:v>
      </x:c>
      <x:c r="J126" s="4" t="str">
        <x:v>AvgAcc + Non-Linear Score</x:v>
      </x:c>
      <x:c r="K126" s="4" t="n">
        <x:v>73</x:v>
      </x:c>
      <x:c r="L126" s="4" t="str">
        <x:v>W01</x:v>
      </x:c>
      <x:c r="M126" s="4" t="str">
        <x:v>unresolved</x:v>
      </x:c>
      <x:c r="N126" s="4" t="str">
        <x:v>unresolved</x:v>
      </x:c>
      <x:c r="O126" s="4" t="str">
        <x:v>unresolved</x:v>
      </x:c>
      <x:c r="P126" s="4" t="str">
        <x:v>unresolved</x:v>
      </x:c>
      <x:c r="Q126" s="4" t="str">
        <x:v>unresolved</x:v>
      </x:c>
      <x:c r="R126" s="4" t="str">
        <x:v>G05</x:v>
      </x:c>
      <x:c r="S126" s="4" t="str">
        <x:v>P02</x:v>
      </x:c>
      <x:c r="T126" s="4" t="n">
        <x:v>1</x:v>
      </x:c>
      <x:c r="U126" s="4" t="str">
        <x:v>唯一P候选</x:v>
      </x:c>
      <x:c r="V126" s="4" t="str">
        <x:v>P02</x:v>
      </x:c>
      <x:c r="W126" s="4" t="str">
        <x:v>B2</x:v>
      </x:c>
      <x:c r="X126" s="4" t="str">
        <x:v>—</x:v>
      </x:c>
      <x:c r="Y126" s="4" t="str">
        <x:v>R2</x:v>
      </x:c>
      <x:c r="Z126" s="4" t="str">
        <x:v>R2</x:v>
      </x:c>
      <x:c r="AA126" s="4" t="str">
        <x:v>原条件原样继承，未独立验证split/样本量/预算有效性；执行先检查可用模态、query_time和官方评分协议</x:v>
      </x:c>
      <x:c r="AB126" s="4" t="str">
        <x:v>杯壳交换期间维持目标身份并处理遮挡；不能用彼此无关的静态帧识别代替。</x:v>
      </x:c>
    </x:row>
    <x:row r="127" ht="52" customHeight="1">
      <x:c r="A127" s="4" t="str">
        <x:v>src.video_mme_v2.event_sequence_ordering.c01</x:v>
      </x:c>
      <x:c r="B127" s="4" t="str">
        <x:v>src.video_mme_v2.event_sequence_ordering</x:v>
      </x:c>
      <x:c r="C127" s="4" t="str">
        <x:v>Video-MME-v2</x:v>
      </x:c>
      <x:c r="D127" s="4" t="str">
        <x:v>Event Sequence Ordering</x:v>
      </x:c>
      <x:c r="E127" s="4" t="str">
        <x:v>—</x:v>
      </x:c>
      <x:c r="F127" s="4" t="str">
        <x:v>test/video_only</x:v>
      </x:c>
      <x:c r="G127" s="4" t="str">
        <x:v>video_only</x:v>
      </x:c>
      <x:c r="H127" s="4" t="str">
        <x:v>成组K选1</x:v>
      </x:c>
      <x:c r="I127" s="4" t="str">
        <x:v>2/3/8</x:v>
      </x:c>
      <x:c r="J127" s="4" t="str">
        <x:v>AvgAcc + Non-Linear Score</x:v>
      </x:c>
      <x:c r="K127" s="4" t="n">
        <x:v>151</x:v>
      </x:c>
      <x:c r="L127" s="4" t="str">
        <x:v>W01</x:v>
      </x:c>
      <x:c r="M127" s="4" t="str">
        <x:v>unresolved</x:v>
      </x:c>
      <x:c r="N127" s="4" t="str">
        <x:v>unresolved</x:v>
      </x:c>
      <x:c r="O127" s="4" t="str">
        <x:v>unresolved</x:v>
      </x:c>
      <x:c r="P127" s="4" t="str">
        <x:v>unresolved</x:v>
      </x:c>
      <x:c r="Q127" s="4" t="str">
        <x:v>unresolved</x:v>
      </x:c>
      <x:c r="R127" s="4" t="str">
        <x:v>G11</x:v>
      </x:c>
      <x:c r="S127" s="4" t="str">
        <x:v>P07</x:v>
      </x:c>
      <x:c r="T127" s="4" t="n">
        <x:v>1</x:v>
      </x:c>
      <x:c r="U127" s="4" t="str">
        <x:v>唯一P候选</x:v>
      </x:c>
      <x:c r="V127" s="4" t="str">
        <x:v>P07</x:v>
      </x:c>
      <x:c r="W127" s="4" t="str">
        <x:v>B1</x:v>
      </x:c>
      <x:c r="X127" s="4" t="str">
        <x:v>—</x:v>
      </x:c>
      <x:c r="Y127" s="4" t="str">
        <x:v>R3</x:v>
      </x:c>
      <x:c r="Z127" s="4" t="str">
        <x:v>R3</x:v>
      </x:c>
      <x:c r="AA127" s="4" t="str">
        <x:v>原条件原样继承，未独立验证split/样本量/预算有效性；执行先检查可用模态、query_time和官方评分协议</x:v>
      </x:c>
      <x:c r="AB127" s="4" t="str">
        <x:v>首个与最后一个进球需要已发生事件的时间索引及末端覆盖，而非未来预测。</x:v>
      </x:c>
    </x:row>
    <x:row r="128" ht="52" customHeight="1">
      <x:c r="A128" s="4" t="str">
        <x:v>src.video_mme_v2.event_sequence_ordering.c02</x:v>
      </x:c>
      <x:c r="B128" s="4" t="str">
        <x:v>src.video_mme_v2.event_sequence_ordering</x:v>
      </x:c>
      <x:c r="C128" s="4" t="str">
        <x:v>Video-MME-v2</x:v>
      </x:c>
      <x:c r="D128" s="4" t="str">
        <x:v>Event Sequence Ordering</x:v>
      </x:c>
      <x:c r="E128" s="4" t="str">
        <x:v>—</x:v>
      </x:c>
      <x:c r="F128" s="4" t="str">
        <x:v>test/with_subtitle_audio</x:v>
      </x:c>
      <x:c r="G128" s="4" t="str">
        <x:v>video+subtitle/audio</x:v>
      </x:c>
      <x:c r="H128" s="4" t="str">
        <x:v>成组K选1</x:v>
      </x:c>
      <x:c r="I128" s="4" t="str">
        <x:v>2/3/8</x:v>
      </x:c>
      <x:c r="J128" s="4" t="str">
        <x:v>AvgAcc + Non-Linear Score</x:v>
      </x:c>
      <x:c r="K128" s="4" t="n">
        <x:v>151</x:v>
      </x:c>
      <x:c r="L128" s="4" t="str">
        <x:v>W01</x:v>
      </x:c>
      <x:c r="M128" s="4" t="str">
        <x:v>unresolved</x:v>
      </x:c>
      <x:c r="N128" s="4" t="str">
        <x:v>unresolved</x:v>
      </x:c>
      <x:c r="O128" s="4" t="str">
        <x:v>unresolved</x:v>
      </x:c>
      <x:c r="P128" s="4" t="str">
        <x:v>unresolved</x:v>
      </x:c>
      <x:c r="Q128" s="4" t="str">
        <x:v>unresolved</x:v>
      </x:c>
      <x:c r="R128" s="4" t="str">
        <x:v>G11</x:v>
      </x:c>
      <x:c r="S128" s="4" t="str">
        <x:v>P07</x:v>
      </x:c>
      <x:c r="T128" s="4" t="n">
        <x:v>1</x:v>
      </x:c>
      <x:c r="U128" s="4" t="str">
        <x:v>唯一P候选</x:v>
      </x:c>
      <x:c r="V128" s="4" t="str">
        <x:v>P07</x:v>
      </x:c>
      <x:c r="W128" s="4" t="str">
        <x:v>B2</x:v>
      </x:c>
      <x:c r="X128" s="4" t="str">
        <x:v>—</x:v>
      </x:c>
      <x:c r="Y128" s="4" t="str">
        <x:v>R3</x:v>
      </x:c>
      <x:c r="Z128" s="4" t="str">
        <x:v>R3</x:v>
      </x:c>
      <x:c r="AA128" s="4" t="str">
        <x:v>原条件原样继承，未独立验证split/样本量/预算有效性；执行先检查可用模态、query_time和官方评分协议</x:v>
      </x:c>
      <x:c r="AB128" s="4" t="str">
        <x:v>首个与最后一个进球需要已发生事件的时间索引及末端覆盖，而非未来预测。</x:v>
      </x:c>
    </x:row>
    <x:row r="129" ht="52" customHeight="1">
      <x:c r="A129" s="4" t="str">
        <x:v>src.video_mme_v2.fine_grained_action_recognition.c01</x:v>
      </x:c>
      <x:c r="B129" s="4" t="str">
        <x:v>src.video_mme_v2.fine_grained_action_recognition</x:v>
      </x:c>
      <x:c r="C129" s="4" t="str">
        <x:v>Video-MME-v2</x:v>
      </x:c>
      <x:c r="D129" s="4" t="str">
        <x:v>Fine-Grained Action Recognition</x:v>
      </x:c>
      <x:c r="E129" s="4" t="str">
        <x:v>—</x:v>
      </x:c>
      <x:c r="F129" s="4" t="str">
        <x:v>test/video_only</x:v>
      </x:c>
      <x:c r="G129" s="4" t="str">
        <x:v>video_only</x:v>
      </x:c>
      <x:c r="H129" s="4" t="str">
        <x:v>成组K选1</x:v>
      </x:c>
      <x:c r="I129" s="4" t="str">
        <x:v>7/8</x:v>
      </x:c>
      <x:c r="J129" s="4" t="str">
        <x:v>AvgAcc + Non-Linear Score</x:v>
      </x:c>
      <x:c r="K129" s="4" t="n">
        <x:v>68</x:v>
      </x:c>
      <x:c r="L129" s="4" t="str">
        <x:v>W01</x:v>
      </x:c>
      <x:c r="M129" s="4" t="str">
        <x:v>unresolved</x:v>
      </x:c>
      <x:c r="N129" s="4" t="str">
        <x:v>unresolved</x:v>
      </x:c>
      <x:c r="O129" s="4" t="str">
        <x:v>unresolved</x:v>
      </x:c>
      <x:c r="P129" s="4" t="str">
        <x:v>unresolved</x:v>
      </x:c>
      <x:c r="Q129" s="4" t="str">
        <x:v>unresolved</x:v>
      </x:c>
      <x:c r="R129" s="4" t="str">
        <x:v>G01 | G03</x:v>
      </x:c>
      <x:c r="S129" s="4" t="str">
        <x:v>P01 | P02</x:v>
      </x:c>
      <x:c r="T129" s="4" t="n">
        <x:v>2</x:v>
      </x:c>
      <x:c r="U129" s="4" t="str">
        <x:v>待P样本拆分</x:v>
      </x:c>
      <x:c r="V129" s="4" t="str">
        <x:v>unresolved</x:v>
      </x:c>
      <x:c r="W129" s="4" t="str">
        <x:v>B1</x:v>
      </x:c>
      <x:c r="X129" s="4" t="str">
        <x:v>—</x:v>
      </x:c>
      <x:c r="Y129" s="4" t="str">
        <x:v>R2</x:v>
      </x:c>
      <x:c r="Z129" s="4" t="str">
        <x:v>R2</x:v>
      </x:c>
      <x:c r="AA129" s="4" t="str">
        <x:v>原条件原样继承，未独立验证split/样本量/预算有效性；执行先检查可用模态、query_time和官方评分协议</x:v>
      </x:c>
      <x:c r="AB129" s="4" t="str">
        <x:v>过人动作需要细粒度连续运动证据；不能把整类并入单帧局部识别。</x:v>
      </x:c>
    </x:row>
    <x:row r="130" ht="52" customHeight="1">
      <x:c r="A130" s="4" t="str">
        <x:v>src.video_mme_v2.fine_grained_action_recognition.c02</x:v>
      </x:c>
      <x:c r="B130" s="4" t="str">
        <x:v>src.video_mme_v2.fine_grained_action_recognition</x:v>
      </x:c>
      <x:c r="C130" s="4" t="str">
        <x:v>Video-MME-v2</x:v>
      </x:c>
      <x:c r="D130" s="4" t="str">
        <x:v>Fine-Grained Action Recognition</x:v>
      </x:c>
      <x:c r="E130" s="4" t="str">
        <x:v>—</x:v>
      </x:c>
      <x:c r="F130" s="4" t="str">
        <x:v>test/with_subtitle_audio</x:v>
      </x:c>
      <x:c r="G130" s="4" t="str">
        <x:v>video+subtitle/audio</x:v>
      </x:c>
      <x:c r="H130" s="4" t="str">
        <x:v>成组K选1</x:v>
      </x:c>
      <x:c r="I130" s="4" t="str">
        <x:v>7/8</x:v>
      </x:c>
      <x:c r="J130" s="4" t="str">
        <x:v>AvgAcc + Non-Linear Score</x:v>
      </x:c>
      <x:c r="K130" s="4" t="n">
        <x:v>68</x:v>
      </x:c>
      <x:c r="L130" s="4" t="str">
        <x:v>W01</x:v>
      </x:c>
      <x:c r="M130" s="4" t="str">
        <x:v>unresolved</x:v>
      </x:c>
      <x:c r="N130" s="4" t="str">
        <x:v>unresolved</x:v>
      </x:c>
      <x:c r="O130" s="4" t="str">
        <x:v>unresolved</x:v>
      </x:c>
      <x:c r="P130" s="4" t="str">
        <x:v>unresolved</x:v>
      </x:c>
      <x:c r="Q130" s="4" t="str">
        <x:v>unresolved</x:v>
      </x:c>
      <x:c r="R130" s="4" t="str">
        <x:v>G01 | G03</x:v>
      </x:c>
      <x:c r="S130" s="4" t="str">
        <x:v>P01 | P02</x:v>
      </x:c>
      <x:c r="T130" s="4" t="n">
        <x:v>2</x:v>
      </x:c>
      <x:c r="U130" s="4" t="str">
        <x:v>待P样本拆分</x:v>
      </x:c>
      <x:c r="V130" s="4" t="str">
        <x:v>unresolved</x:v>
      </x:c>
      <x:c r="W130" s="4" t="str">
        <x:v>B2</x:v>
      </x:c>
      <x:c r="X130" s="4" t="str">
        <x:v>—</x:v>
      </x:c>
      <x:c r="Y130" s="4" t="str">
        <x:v>R2</x:v>
      </x:c>
      <x:c r="Z130" s="4" t="str">
        <x:v>R2</x:v>
      </x:c>
      <x:c r="AA130" s="4" t="str">
        <x:v>原条件原样继承，未独立验证split/样本量/预算有效性；执行先检查可用模态、query_time和官方评分协议</x:v>
      </x:c>
      <x:c r="AB130" s="4" t="str">
        <x:v>过人动作需要细粒度连续运动证据；不能把整类并入单帧局部识别。</x:v>
      </x:c>
    </x:row>
    <x:row r="131" ht="52" customHeight="1">
      <x:c r="A131" s="4" t="str">
        <x:v>src.video_mme_v2.future_event_prediction.c01</x:v>
      </x:c>
      <x:c r="B131" s="4" t="str">
        <x:v>src.video_mme_v2.future_event_prediction</x:v>
      </x:c>
      <x:c r="C131" s="4" t="str">
        <x:v>Video-MME-v2</x:v>
      </x:c>
      <x:c r="D131" s="4" t="str">
        <x:v>Future Event Prediction</x:v>
      </x:c>
      <x:c r="E131" s="4" t="str">
        <x:v>—</x:v>
      </x:c>
      <x:c r="F131" s="4" t="str">
        <x:v>test/video_only</x:v>
      </x:c>
      <x:c r="G131" s="4" t="str">
        <x:v>video_only</x:v>
      </x:c>
      <x:c r="H131" s="4" t="str">
        <x:v>成组K选1</x:v>
      </x:c>
      <x:c r="I131" s="4" t="str">
        <x:v>7/8</x:v>
      </x:c>
      <x:c r="J131" s="4" t="str">
        <x:v>AvgAcc + Non-Linear Score</x:v>
      </x:c>
      <x:c r="K131" s="4" t="n">
        <x:v>32</x:v>
      </x:c>
      <x:c r="L131" s="4" t="str">
        <x:v>W01</x:v>
      </x:c>
      <x:c r="M131" s="4" t="str">
        <x:v>unresolved</x:v>
      </x:c>
      <x:c r="N131" s="4" t="str">
        <x:v>unresolved</x:v>
      </x:c>
      <x:c r="O131" s="4" t="str">
        <x:v>unresolved</x:v>
      </x:c>
      <x:c r="P131" s="4" t="str">
        <x:v>unresolved</x:v>
      </x:c>
      <x:c r="Q131" s="4" t="str">
        <x:v>unresolved</x:v>
      </x:c>
      <x:c r="R131" s="4" t="str">
        <x:v>G18</x:v>
      </x:c>
      <x:c r="S131" s="4" t="str">
        <x:v>P12</x:v>
      </x:c>
      <x:c r="T131" s="4" t="n">
        <x:v>1</x:v>
      </x:c>
      <x:c r="U131" s="4" t="str">
        <x:v>唯一P候选</x:v>
      </x:c>
      <x:c r="V131" s="4" t="str">
        <x:v>P12</x:v>
      </x:c>
      <x:c r="W131" s="4" t="str">
        <x:v>B1</x:v>
      </x:c>
      <x:c r="X131" s="4" t="str">
        <x:v>—</x:v>
      </x:c>
      <x:c r="Y131" s="4" t="str">
        <x:v>R7</x:v>
      </x:c>
      <x:c r="Z131" s="4" t="str">
        <x:v>R7</x:v>
      </x:c>
      <x:c r="AA131" s="4" t="str">
        <x:v>原条件原样继承，未独立验证split/样本量/预算有效性；执行先检查可用模态、query_time和官方评分协议</x:v>
      </x:c>
      <x:c r="AB131" s="4" t="str">
        <x:v>从题目允许的观察前缀预测后续行为；严格禁止读取被预测的未来片段作为证据。</x:v>
      </x:c>
    </x:row>
    <x:row r="132" ht="52" customHeight="1">
      <x:c r="A132" s="4" t="str">
        <x:v>src.video_mme_v2.future_event_prediction.c02</x:v>
      </x:c>
      <x:c r="B132" s="4" t="str">
        <x:v>src.video_mme_v2.future_event_prediction</x:v>
      </x:c>
      <x:c r="C132" s="4" t="str">
        <x:v>Video-MME-v2</x:v>
      </x:c>
      <x:c r="D132" s="4" t="str">
        <x:v>Future Event Prediction</x:v>
      </x:c>
      <x:c r="E132" s="4" t="str">
        <x:v>—</x:v>
      </x:c>
      <x:c r="F132" s="4" t="str">
        <x:v>test/with_subtitle_audio</x:v>
      </x:c>
      <x:c r="G132" s="4" t="str">
        <x:v>video+subtitle/audio</x:v>
      </x:c>
      <x:c r="H132" s="4" t="str">
        <x:v>成组K选1</x:v>
      </x:c>
      <x:c r="I132" s="4" t="str">
        <x:v>7/8</x:v>
      </x:c>
      <x:c r="J132" s="4" t="str">
        <x:v>AvgAcc + Non-Linear Score</x:v>
      </x:c>
      <x:c r="K132" s="4" t="n">
        <x:v>32</x:v>
      </x:c>
      <x:c r="L132" s="4" t="str">
        <x:v>W01</x:v>
      </x:c>
      <x:c r="M132" s="4" t="str">
        <x:v>unresolved</x:v>
      </x:c>
      <x:c r="N132" s="4" t="str">
        <x:v>unresolved</x:v>
      </x:c>
      <x:c r="O132" s="4" t="str">
        <x:v>unresolved</x:v>
      </x:c>
      <x:c r="P132" s="4" t="str">
        <x:v>unresolved</x:v>
      </x:c>
      <x:c r="Q132" s="4" t="str">
        <x:v>unresolved</x:v>
      </x:c>
      <x:c r="R132" s="4" t="str">
        <x:v>G18</x:v>
      </x:c>
      <x:c r="S132" s="4" t="str">
        <x:v>P12</x:v>
      </x:c>
      <x:c r="T132" s="4" t="n">
        <x:v>1</x:v>
      </x:c>
      <x:c r="U132" s="4" t="str">
        <x:v>唯一P候选</x:v>
      </x:c>
      <x:c r="V132" s="4" t="str">
        <x:v>P12</x:v>
      </x:c>
      <x:c r="W132" s="4" t="str">
        <x:v>B2</x:v>
      </x:c>
      <x:c r="X132" s="4" t="str">
        <x:v>—</x:v>
      </x:c>
      <x:c r="Y132" s="4" t="str">
        <x:v>R7</x:v>
      </x:c>
      <x:c r="Z132" s="4" t="str">
        <x:v>R7</x:v>
      </x:c>
      <x:c r="AA132" s="4" t="str">
        <x:v>原条件原样继承，未独立验证split/样本量/预算有效性；执行先检查可用模态、query_time和官方评分协议</x:v>
      </x:c>
      <x:c r="AB132" s="4" t="str">
        <x:v>从题目允许的观察前缀预测后续行为；严格禁止读取被预测的未来片段作为证据。</x:v>
      </x:c>
    </x:row>
    <x:row r="133" ht="52" customHeight="1">
      <x:c r="A133" s="4" t="str">
        <x:v>src.video_mme_v2.general_skills_acquisition.c01</x:v>
      </x:c>
      <x:c r="B133" s="4" t="str">
        <x:v>src.video_mme_v2.general_skills_acquisition</x:v>
      </x:c>
      <x:c r="C133" s="4" t="str">
        <x:v>Video-MME-v2</x:v>
      </x:c>
      <x:c r="D133" s="4" t="str">
        <x:v>General Skills Acquisition</x:v>
      </x:c>
      <x:c r="E133" s="4" t="str">
        <x:v>—</x:v>
      </x:c>
      <x:c r="F133" s="4" t="str">
        <x:v>test/video_only</x:v>
      </x:c>
      <x:c r="G133" s="4" t="str">
        <x:v>video_only</x:v>
      </x:c>
      <x:c r="H133" s="4" t="str">
        <x:v>成组K选1</x:v>
      </x:c>
      <x:c r="I133" s="4" t="str">
        <x:v>3/8</x:v>
      </x:c>
      <x:c r="J133" s="4" t="str">
        <x:v>AvgAcc + Non-Linear Score</x:v>
      </x:c>
      <x:c r="K133" s="4" t="n">
        <x:v>137</x:v>
      </x:c>
      <x:c r="L133" s="4" t="str">
        <x:v>W01</x:v>
      </x:c>
      <x:c r="M133" s="4" t="str">
        <x:v>unresolved</x:v>
      </x:c>
      <x:c r="N133" s="4" t="str">
        <x:v>unresolved</x:v>
      </x:c>
      <x:c r="O133" s="4" t="str">
        <x:v>unresolved</x:v>
      </x:c>
      <x:c r="P133" s="4" t="str">
        <x:v>unresolved</x:v>
      </x:c>
      <x:c r="Q133" s="4" t="str">
        <x:v>unresolved</x:v>
      </x:c>
      <x:c r="R133" s="4" t="str">
        <x:v>G34</x:v>
      </x:c>
      <x:c r="S133" s="4" t="str">
        <x:v>P14</x:v>
      </x:c>
      <x:c r="T133" s="4" t="n">
        <x:v>1</x:v>
      </x:c>
      <x:c r="U133" s="4" t="str">
        <x:v>唯一P候选</x:v>
      </x:c>
      <x:c r="V133" s="4" t="str">
        <x:v>P14</x:v>
      </x:c>
      <x:c r="W133" s="4" t="str">
        <x:v>B1</x:v>
      </x:c>
      <x:c r="X133" s="4" t="str">
        <x:v>—</x:v>
      </x:c>
      <x:c r="Y133" s="4" t="str">
        <x:v>R6</x:v>
      </x:c>
      <x:c r="Z133" s="4" t="str">
        <x:v>R1 | R3 | R6</x:v>
      </x:c>
      <x:c r="AA133" s="4" t="str">
        <x:v>原条件原样继承，未独立验证split/样本量/预算有效性；执行先检查可用模态、query_time和官方评分协议</x:v>
      </x:c>
      <x:c r="AB133" s="4" t="str">
        <x:v>复现烹饪流程中找操作错误需核对条件和步骤关系；直接问某步骤R1，单纯步骤先后R3。不能把整个知识/技能类都当异常检测。</x:v>
      </x:c>
    </x:row>
    <x:row r="134" ht="52" customHeight="1">
      <x:c r="A134" s="4" t="str">
        <x:v>src.video_mme_v2.general_skills_acquisition.c02</x:v>
      </x:c>
      <x:c r="B134" s="4" t="str">
        <x:v>src.video_mme_v2.general_skills_acquisition</x:v>
      </x:c>
      <x:c r="C134" s="4" t="str">
        <x:v>Video-MME-v2</x:v>
      </x:c>
      <x:c r="D134" s="4" t="str">
        <x:v>General Skills Acquisition</x:v>
      </x:c>
      <x:c r="E134" s="4" t="str">
        <x:v>—</x:v>
      </x:c>
      <x:c r="F134" s="4" t="str">
        <x:v>test/with_subtitle_audio</x:v>
      </x:c>
      <x:c r="G134" s="4" t="str">
        <x:v>video+subtitle/audio</x:v>
      </x:c>
      <x:c r="H134" s="4" t="str">
        <x:v>成组K选1</x:v>
      </x:c>
      <x:c r="I134" s="4" t="str">
        <x:v>3/8</x:v>
      </x:c>
      <x:c r="J134" s="4" t="str">
        <x:v>AvgAcc + Non-Linear Score</x:v>
      </x:c>
      <x:c r="K134" s="4" t="n">
        <x:v>137</x:v>
      </x:c>
      <x:c r="L134" s="4" t="str">
        <x:v>W01</x:v>
      </x:c>
      <x:c r="M134" s="4" t="str">
        <x:v>unresolved</x:v>
      </x:c>
      <x:c r="N134" s="4" t="str">
        <x:v>unresolved</x:v>
      </x:c>
      <x:c r="O134" s="4" t="str">
        <x:v>unresolved</x:v>
      </x:c>
      <x:c r="P134" s="4" t="str">
        <x:v>unresolved</x:v>
      </x:c>
      <x:c r="Q134" s="4" t="str">
        <x:v>unresolved</x:v>
      </x:c>
      <x:c r="R134" s="4" t="str">
        <x:v>G34</x:v>
      </x:c>
      <x:c r="S134" s="4" t="str">
        <x:v>P14</x:v>
      </x:c>
      <x:c r="T134" s="4" t="n">
        <x:v>1</x:v>
      </x:c>
      <x:c r="U134" s="4" t="str">
        <x:v>唯一P候选</x:v>
      </x:c>
      <x:c r="V134" s="4" t="str">
        <x:v>P14</x:v>
      </x:c>
      <x:c r="W134" s="4" t="str">
        <x:v>B2</x:v>
      </x:c>
      <x:c r="X134" s="4" t="str">
        <x:v>—</x:v>
      </x:c>
      <x:c r="Y134" s="4" t="str">
        <x:v>R6</x:v>
      </x:c>
      <x:c r="Z134" s="4" t="str">
        <x:v>R1 | R3 | R6</x:v>
      </x:c>
      <x:c r="AA134" s="4" t="str">
        <x:v>原条件原样继承，未独立验证split/样本量/预算有效性；执行先检查可用模态、query_time和官方评分协议</x:v>
      </x:c>
      <x:c r="AB134" s="4" t="str">
        <x:v>复现烹饪流程中找操作错误需核对条件和步骤关系；直接问某步骤R1，单纯步骤先后R3。不能把整个知识/技能类都当异常检测。</x:v>
      </x:c>
    </x:row>
    <x:row r="135" ht="52" customHeight="1">
      <x:c r="A135" s="4" t="str">
        <x:v>src.video_mme_v2.high_order_narrative_deconstruction.c01</x:v>
      </x:c>
      <x:c r="B135" s="4" t="str">
        <x:v>src.video_mme_v2.high_order_narrative_deconstruction</x:v>
      </x:c>
      <x:c r="C135" s="4" t="str">
        <x:v>Video-MME-v2</x:v>
      </x:c>
      <x:c r="D135" s="4" t="str">
        <x:v>High-Order Narrative Deconstruction</x:v>
      </x:c>
      <x:c r="E135" s="4" t="str">
        <x:v>—</x:v>
      </x:c>
      <x:c r="F135" s="4" t="str">
        <x:v>test/video_only</x:v>
      </x:c>
      <x:c r="G135" s="4" t="str">
        <x:v>video_only</x:v>
      </x:c>
      <x:c r="H135" s="4" t="str">
        <x:v>成组K选1</x:v>
      </x:c>
      <x:c r="I135" s="4" t="str">
        <x:v>8</x:v>
      </x:c>
      <x:c r="J135" s="4" t="str">
        <x:v>AvgAcc + Non-Linear Score</x:v>
      </x:c>
      <x:c r="K135" s="4" t="n">
        <x:v>63</x:v>
      </x:c>
      <x:c r="L135" s="4" t="str">
        <x:v>W01</x:v>
      </x:c>
      <x:c r="M135" s="4" t="str">
        <x:v>unresolved</x:v>
      </x:c>
      <x:c r="N135" s="4" t="str">
        <x:v>unresolved</x:v>
      </x:c>
      <x:c r="O135" s="4" t="str">
        <x:v>unresolved</x:v>
      </x:c>
      <x:c r="P135" s="4" t="str">
        <x:v>unresolved</x:v>
      </x:c>
      <x:c r="Q135" s="4" t="str">
        <x:v>unresolved</x:v>
      </x:c>
      <x:c r="R135" s="4" t="str">
        <x:v>G17</x:v>
      </x:c>
      <x:c r="S135" s="4" t="str">
        <x:v>P11</x:v>
      </x:c>
      <x:c r="T135" s="4" t="n">
        <x:v>1</x:v>
      </x:c>
      <x:c r="U135" s="4" t="str">
        <x:v>唯一P候选</x:v>
      </x:c>
      <x:c r="V135" s="4" t="str">
        <x:v>P11</x:v>
      </x:c>
      <x:c r="W135" s="4" t="str">
        <x:v>B1</x:v>
      </x:c>
      <x:c r="X135" s="4" t="str">
        <x:v>—</x:v>
      </x:c>
      <x:c r="Y135" s="4" t="str">
        <x:v>R6</x:v>
      </x:c>
      <x:c r="Z135" s="4" t="str">
        <x:v>R6</x:v>
      </x:c>
      <x:c r="AA135" s="4" t="str">
        <x:v>原条件原样继承，未独立验证split/样本量/预算有效性；执行先检查可用模态、query_time和官方评分协议</x:v>
      </x:c>
      <x:c r="AB135" s="4" t="str">
        <x:v>解释笑点需把叙事事实与预期/反差联系起来，不等同复述全片。</x:v>
      </x:c>
    </x:row>
    <x:row r="136" ht="52" customHeight="1">
      <x:c r="A136" s="4" t="str">
        <x:v>src.video_mme_v2.high_order_narrative_deconstruction.c02</x:v>
      </x:c>
      <x:c r="B136" s="4" t="str">
        <x:v>src.video_mme_v2.high_order_narrative_deconstruction</x:v>
      </x:c>
      <x:c r="C136" s="4" t="str">
        <x:v>Video-MME-v2</x:v>
      </x:c>
      <x:c r="D136" s="4" t="str">
        <x:v>High-Order Narrative Deconstruction</x:v>
      </x:c>
      <x:c r="E136" s="4" t="str">
        <x:v>—</x:v>
      </x:c>
      <x:c r="F136" s="4" t="str">
        <x:v>test/with_subtitle_audio</x:v>
      </x:c>
      <x:c r="G136" s="4" t="str">
        <x:v>video+subtitle/audio</x:v>
      </x:c>
      <x:c r="H136" s="4" t="str">
        <x:v>成组K选1</x:v>
      </x:c>
      <x:c r="I136" s="4" t="str">
        <x:v>8</x:v>
      </x:c>
      <x:c r="J136" s="4" t="str">
        <x:v>AvgAcc + Non-Linear Score</x:v>
      </x:c>
      <x:c r="K136" s="4" t="n">
        <x:v>63</x:v>
      </x:c>
      <x:c r="L136" s="4" t="str">
        <x:v>W01</x:v>
      </x:c>
      <x:c r="M136" s="4" t="str">
        <x:v>unresolved</x:v>
      </x:c>
      <x:c r="N136" s="4" t="str">
        <x:v>unresolved</x:v>
      </x:c>
      <x:c r="O136" s="4" t="str">
        <x:v>unresolved</x:v>
      </x:c>
      <x:c r="P136" s="4" t="str">
        <x:v>unresolved</x:v>
      </x:c>
      <x:c r="Q136" s="4" t="str">
        <x:v>unresolved</x:v>
      </x:c>
      <x:c r="R136" s="4" t="str">
        <x:v>G17</x:v>
      </x:c>
      <x:c r="S136" s="4" t="str">
        <x:v>P11</x:v>
      </x:c>
      <x:c r="T136" s="4" t="n">
        <x:v>1</x:v>
      </x:c>
      <x:c r="U136" s="4" t="str">
        <x:v>唯一P候选</x:v>
      </x:c>
      <x:c r="V136" s="4" t="str">
        <x:v>P11</x:v>
      </x:c>
      <x:c r="W136" s="4" t="str">
        <x:v>B2</x:v>
      </x:c>
      <x:c r="X136" s="4" t="str">
        <x:v>—</x:v>
      </x:c>
      <x:c r="Y136" s="4" t="str">
        <x:v>R6</x:v>
      </x:c>
      <x:c r="Z136" s="4" t="str">
        <x:v>R6</x:v>
      </x:c>
      <x:c r="AA136" s="4" t="str">
        <x:v>原条件原样继承，未独立验证split/样本量/预算有效性；执行先检查可用模态、query_time和官方评分协议</x:v>
      </x:c>
      <x:c r="AB136" s="4" t="str">
        <x:v>解释笑点需把叙事事实与预期/反差联系起来，不等同复述全片。</x:v>
      </x:c>
    </x:row>
    <x:row r="137" ht="52" customHeight="1">
      <x:c r="A137" s="4" t="str">
        <x:v>src.video_mme_v2.individual_social_cognition.c01</x:v>
      </x:c>
      <x:c r="B137" s="4" t="str">
        <x:v>src.video_mme_v2.individual_social_cognition</x:v>
      </x:c>
      <x:c r="C137" s="4" t="str">
        <x:v>Video-MME-v2</x:v>
      </x:c>
      <x:c r="D137" s="4" t="str">
        <x:v>Individual Social Cognition</x:v>
      </x:c>
      <x:c r="E137" s="4" t="str">
        <x:v>—</x:v>
      </x:c>
      <x:c r="F137" s="4" t="str">
        <x:v>test/video_only</x:v>
      </x:c>
      <x:c r="G137" s="4" t="str">
        <x:v>video_only</x:v>
      </x:c>
      <x:c r="H137" s="4" t="str">
        <x:v>成组K选1</x:v>
      </x:c>
      <x:c r="I137" s="4" t="str">
        <x:v>6/7/8</x:v>
      </x:c>
      <x:c r="J137" s="4" t="str">
        <x:v>AvgAcc + Non-Linear Score</x:v>
      </x:c>
      <x:c r="K137" s="4" t="n">
        <x:v>107</x:v>
      </x:c>
      <x:c r="L137" s="4" t="str">
        <x:v>W01</x:v>
      </x:c>
      <x:c r="M137" s="4" t="str">
        <x:v>unresolved</x:v>
      </x:c>
      <x:c r="N137" s="4" t="str">
        <x:v>unresolved</x:v>
      </x:c>
      <x:c r="O137" s="4" t="str">
        <x:v>unresolved</x:v>
      </x:c>
      <x:c r="P137" s="4" t="str">
        <x:v>unresolved</x:v>
      </x:c>
      <x:c r="Q137" s="4" t="str">
        <x:v>unresolved</x:v>
      </x:c>
      <x:c r="R137" s="4" t="str">
        <x:v>G32</x:v>
      </x:c>
      <x:c r="S137" s="4" t="str">
        <x:v>P11</x:v>
      </x:c>
      <x:c r="T137" s="4" t="n">
        <x:v>1</x:v>
      </x:c>
      <x:c r="U137" s="4" t="str">
        <x:v>唯一P候选</x:v>
      </x:c>
      <x:c r="V137" s="4" t="str">
        <x:v>P11</x:v>
      </x:c>
      <x:c r="W137" s="4" t="str">
        <x:v>B1</x:v>
      </x:c>
      <x:c r="X137" s="4" t="str">
        <x:v>—</x:v>
      </x:c>
      <x:c r="Y137" s="4" t="str">
        <x:v>R6</x:v>
      </x:c>
      <x:c r="Z137" s="4" t="str">
        <x:v>R1 | R6</x:v>
      </x:c>
      <x:c r="AA137" s="4" t="str">
        <x:v>原条件原样继承，未独立验证split/样本量/预算有效性；执行先检查可用模态、query_time和官方评分协议</x:v>
      </x:c>
      <x:c r="AB137" s="4" t="str">
        <x:v>访谈中对开源/闭源的立场若明确表达可R1；需从含蓄发言或行为推断才R6。代表题的实际负担需核对片段。</x:v>
      </x:c>
    </x:row>
    <x:row r="138" ht="52" customHeight="1">
      <x:c r="A138" s="4" t="str">
        <x:v>src.video_mme_v2.individual_social_cognition.c02</x:v>
      </x:c>
      <x:c r="B138" s="4" t="str">
        <x:v>src.video_mme_v2.individual_social_cognition</x:v>
      </x:c>
      <x:c r="C138" s="4" t="str">
        <x:v>Video-MME-v2</x:v>
      </x:c>
      <x:c r="D138" s="4" t="str">
        <x:v>Individual Social Cognition</x:v>
      </x:c>
      <x:c r="E138" s="4" t="str">
        <x:v>—</x:v>
      </x:c>
      <x:c r="F138" s="4" t="str">
        <x:v>test/with_subtitle_audio</x:v>
      </x:c>
      <x:c r="G138" s="4" t="str">
        <x:v>video+subtitle/audio</x:v>
      </x:c>
      <x:c r="H138" s="4" t="str">
        <x:v>成组K选1</x:v>
      </x:c>
      <x:c r="I138" s="4" t="str">
        <x:v>6/7/8</x:v>
      </x:c>
      <x:c r="J138" s="4" t="str">
        <x:v>AvgAcc + Non-Linear Score</x:v>
      </x:c>
      <x:c r="K138" s="4" t="n">
        <x:v>107</x:v>
      </x:c>
      <x:c r="L138" s="4" t="str">
        <x:v>W01</x:v>
      </x:c>
      <x:c r="M138" s="4" t="str">
        <x:v>unresolved</x:v>
      </x:c>
      <x:c r="N138" s="4" t="str">
        <x:v>unresolved</x:v>
      </x:c>
      <x:c r="O138" s="4" t="str">
        <x:v>unresolved</x:v>
      </x:c>
      <x:c r="P138" s="4" t="str">
        <x:v>unresolved</x:v>
      </x:c>
      <x:c r="Q138" s="4" t="str">
        <x:v>unresolved</x:v>
      </x:c>
      <x:c r="R138" s="4" t="str">
        <x:v>G32</x:v>
      </x:c>
      <x:c r="S138" s="4" t="str">
        <x:v>P11</x:v>
      </x:c>
      <x:c r="T138" s="4" t="n">
        <x:v>1</x:v>
      </x:c>
      <x:c r="U138" s="4" t="str">
        <x:v>唯一P候选</x:v>
      </x:c>
      <x:c r="V138" s="4" t="str">
        <x:v>P11</x:v>
      </x:c>
      <x:c r="W138" s="4" t="str">
        <x:v>B2</x:v>
      </x:c>
      <x:c r="X138" s="4" t="str">
        <x:v>—</x:v>
      </x:c>
      <x:c r="Y138" s="4" t="str">
        <x:v>R6</x:v>
      </x:c>
      <x:c r="Z138" s="4" t="str">
        <x:v>R1 | R6</x:v>
      </x:c>
      <x:c r="AA138" s="4" t="str">
        <x:v>原条件原样继承，未独立验证split/样本量/预算有效性；执行先检查可用模态、query_time和官方评分协议</x:v>
      </x:c>
      <x:c r="AB138" s="4" t="str">
        <x:v>访谈中对开源/闭源的立场若明确表达可R1；需从含蓄发言或行为推断才R6。代表题的实际负担需核对片段。</x:v>
      </x:c>
    </x:row>
    <x:row r="139" ht="52" customHeight="1">
      <x:c r="A139" s="4" t="str">
        <x:v>src.video_mme_v2.motion_properties_analysis.c01</x:v>
      </x:c>
      <x:c r="B139" s="4" t="str">
        <x:v>src.video_mme_v2.motion_properties_analysis</x:v>
      </x:c>
      <x:c r="C139" s="4" t="str">
        <x:v>Video-MME-v2</x:v>
      </x:c>
      <x:c r="D139" s="4" t="str">
        <x:v>Motion Properties Analysis</x:v>
      </x:c>
      <x:c r="E139" s="4" t="str">
        <x:v>—</x:v>
      </x:c>
      <x:c r="F139" s="4" t="str">
        <x:v>test/video_only</x:v>
      </x:c>
      <x:c r="G139" s="4" t="str">
        <x:v>video_only</x:v>
      </x:c>
      <x:c r="H139" s="4" t="str">
        <x:v>成组K选1</x:v>
      </x:c>
      <x:c r="I139" s="4" t="str">
        <x:v>8</x:v>
      </x:c>
      <x:c r="J139" s="4" t="str">
        <x:v>AvgAcc + Non-Linear Score</x:v>
      </x:c>
      <x:c r="K139" s="4" t="n">
        <x:v>65</x:v>
      </x:c>
      <x:c r="L139" s="4" t="str">
        <x:v>W01</x:v>
      </x:c>
      <x:c r="M139" s="4" t="str">
        <x:v>unresolved</x:v>
      </x:c>
      <x:c r="N139" s="4" t="str">
        <x:v>unresolved</x:v>
      </x:c>
      <x:c r="O139" s="4" t="str">
        <x:v>unresolved</x:v>
      </x:c>
      <x:c r="P139" s="4" t="str">
        <x:v>unresolved</x:v>
      </x:c>
      <x:c r="Q139" s="4" t="str">
        <x:v>unresolved</x:v>
      </x:c>
      <x:c r="R139" s="4" t="str">
        <x:v>G03</x:v>
      </x:c>
      <x:c r="S139" s="4" t="str">
        <x:v>P02</x:v>
      </x:c>
      <x:c r="T139" s="4" t="n">
        <x:v>1</x:v>
      </x:c>
      <x:c r="U139" s="4" t="str">
        <x:v>唯一P候选</x:v>
      </x:c>
      <x:c r="V139" s="4" t="str">
        <x:v>P02</x:v>
      </x:c>
      <x:c r="W139" s="4" t="str">
        <x:v>B1</x:v>
      </x:c>
      <x:c r="X139" s="4" t="str">
        <x:v>—</x:v>
      </x:c>
      <x:c r="Y139" s="4" t="str">
        <x:v>R2</x:v>
      </x:c>
      <x:c r="Z139" s="4" t="str">
        <x:v>R2</x:v>
      </x:c>
      <x:c r="AA139" s="4" t="str">
        <x:v>原条件原样继承，未独立验证split/样本量/预算有效性；执行先检查可用模态、query_time和官方评分协议</x:v>
      </x:c>
      <x:c r="AB139" s="4" t="str">
        <x:v>抬脚幅度随时间如何变化需要运动状态序列；不一定存在周期。</x:v>
      </x:c>
    </x:row>
    <x:row r="140" ht="52" customHeight="1">
      <x:c r="A140" s="4" t="str">
        <x:v>src.video_mme_v2.motion_properties_analysis.c02</x:v>
      </x:c>
      <x:c r="B140" s="4" t="str">
        <x:v>src.video_mme_v2.motion_properties_analysis</x:v>
      </x:c>
      <x:c r="C140" s="4" t="str">
        <x:v>Video-MME-v2</x:v>
      </x:c>
      <x:c r="D140" s="4" t="str">
        <x:v>Motion Properties Analysis</x:v>
      </x:c>
      <x:c r="E140" s="4" t="str">
        <x:v>—</x:v>
      </x:c>
      <x:c r="F140" s="4" t="str">
        <x:v>test/with_subtitle_audio</x:v>
      </x:c>
      <x:c r="G140" s="4" t="str">
        <x:v>video+subtitle/audio</x:v>
      </x:c>
      <x:c r="H140" s="4" t="str">
        <x:v>成组K选1</x:v>
      </x:c>
      <x:c r="I140" s="4" t="str">
        <x:v>8</x:v>
      </x:c>
      <x:c r="J140" s="4" t="str">
        <x:v>AvgAcc + Non-Linear Score</x:v>
      </x:c>
      <x:c r="K140" s="4" t="n">
        <x:v>65</x:v>
      </x:c>
      <x:c r="L140" s="4" t="str">
        <x:v>W01</x:v>
      </x:c>
      <x:c r="M140" s="4" t="str">
        <x:v>unresolved</x:v>
      </x:c>
      <x:c r="N140" s="4" t="str">
        <x:v>unresolved</x:v>
      </x:c>
      <x:c r="O140" s="4" t="str">
        <x:v>unresolved</x:v>
      </x:c>
      <x:c r="P140" s="4" t="str">
        <x:v>unresolved</x:v>
      </x:c>
      <x:c r="Q140" s="4" t="str">
        <x:v>unresolved</x:v>
      </x:c>
      <x:c r="R140" s="4" t="str">
        <x:v>G03</x:v>
      </x:c>
      <x:c r="S140" s="4" t="str">
        <x:v>P02</x:v>
      </x:c>
      <x:c r="T140" s="4" t="n">
        <x:v>1</x:v>
      </x:c>
      <x:c r="U140" s="4" t="str">
        <x:v>唯一P候选</x:v>
      </x:c>
      <x:c r="V140" s="4" t="str">
        <x:v>P02</x:v>
      </x:c>
      <x:c r="W140" s="4" t="str">
        <x:v>B2</x:v>
      </x:c>
      <x:c r="X140" s="4" t="str">
        <x:v>—</x:v>
      </x:c>
      <x:c r="Y140" s="4" t="str">
        <x:v>R2</x:v>
      </x:c>
      <x:c r="Z140" s="4" t="str">
        <x:v>R2</x:v>
      </x:c>
      <x:c r="AA140" s="4" t="str">
        <x:v>原条件原样继承，未独立验证split/样本量/预算有效性；执行先检查可用模态、query_time和官方评分协议</x:v>
      </x:c>
      <x:c r="AB140" s="4" t="str">
        <x:v>抬脚幅度随时间如何变化需要运动状态序列；不一定存在周期。</x:v>
      </x:c>
    </x:row>
    <x:row r="141" ht="66" customHeight="1">
      <x:c r="A141" s="4" t="str">
        <x:v>src.video_mme_v2.motion_trajectory_estimation.c01</x:v>
      </x:c>
      <x:c r="B141" s="4" t="str">
        <x:v>src.video_mme_v2.motion_trajectory_estimation</x:v>
      </x:c>
      <x:c r="C141" s="4" t="str">
        <x:v>Video-MME-v2</x:v>
      </x:c>
      <x:c r="D141" s="4" t="str">
        <x:v>Motion Trajectory Estimation</x:v>
      </x:c>
      <x:c r="E141" s="4" t="str">
        <x:v>—</x:v>
      </x:c>
      <x:c r="F141" s="4" t="str">
        <x:v>test/video_only</x:v>
      </x:c>
      <x:c r="G141" s="4" t="str">
        <x:v>video_only</x:v>
      </x:c>
      <x:c r="H141" s="4" t="str">
        <x:v>成组K选1</x:v>
      </x:c>
      <x:c r="I141" s="4" t="str">
        <x:v>8</x:v>
      </x:c>
      <x:c r="J141" s="4" t="str">
        <x:v>AvgAcc + Non-Linear Score</x:v>
      </x:c>
      <x:c r="K141" s="4" t="n">
        <x:v>58</x:v>
      </x:c>
      <x:c r="L141" s="4" t="str">
        <x:v>W01</x:v>
      </x:c>
      <x:c r="M141" s="4" t="str">
        <x:v>unresolved</x:v>
      </x:c>
      <x:c r="N141" s="4" t="str">
        <x:v>unresolved</x:v>
      </x:c>
      <x:c r="O141" s="4" t="str">
        <x:v>unresolved</x:v>
      </x:c>
      <x:c r="P141" s="4" t="str">
        <x:v>unresolved</x:v>
      </x:c>
      <x:c r="Q141" s="4" t="str">
        <x:v>unresolved</x:v>
      </x:c>
      <x:c r="R141" s="4" t="str">
        <x:v>G03</x:v>
      </x:c>
      <x:c r="S141" s="4" t="str">
        <x:v>P02</x:v>
      </x:c>
      <x:c r="T141" s="4" t="n">
        <x:v>1</x:v>
      </x:c>
      <x:c r="U141" s="4" t="str">
        <x:v>唯一P候选</x:v>
      </x:c>
      <x:c r="V141" s="4" t="str">
        <x:v>P02</x:v>
      </x:c>
      <x:c r="W141" s="4" t="str">
        <x:v>B1</x:v>
      </x:c>
      <x:c r="X141" s="4" t="str">
        <x:v>—</x:v>
      </x:c>
      <x:c r="Y141" s="4" t="str">
        <x:v>R2</x:v>
      </x:c>
      <x:c r="Z141" s="4" t="str">
        <x:v>R2</x:v>
      </x:c>
      <x:c r="AA141" s="4" t="str">
        <x:v>原条件原样继承，未独立验证split/样本量/预算有效性；执行先检查可用模态、query_time和官方评分协议</x:v>
      </x:c>
      <x:c r="AB141" s="4" t="str">
        <x:v>第10、11板球的旋转需要先定位回合再分析运动轨迹。论文Table 4也出现Motion Trajectory Formation命名；不改官方数据标签。</x:v>
      </x:c>
    </x:row>
    <x:row r="142" ht="66" customHeight="1">
      <x:c r="A142" s="4" t="str">
        <x:v>src.video_mme_v2.motion_trajectory_estimation.c02</x:v>
      </x:c>
      <x:c r="B142" s="4" t="str">
        <x:v>src.video_mme_v2.motion_trajectory_estimation</x:v>
      </x:c>
      <x:c r="C142" s="4" t="str">
        <x:v>Video-MME-v2</x:v>
      </x:c>
      <x:c r="D142" s="4" t="str">
        <x:v>Motion Trajectory Estimation</x:v>
      </x:c>
      <x:c r="E142" s="4" t="str">
        <x:v>—</x:v>
      </x:c>
      <x:c r="F142" s="4" t="str">
        <x:v>test/with_subtitle_audio</x:v>
      </x:c>
      <x:c r="G142" s="4" t="str">
        <x:v>video+subtitle/audio</x:v>
      </x:c>
      <x:c r="H142" s="4" t="str">
        <x:v>成组K选1</x:v>
      </x:c>
      <x:c r="I142" s="4" t="str">
        <x:v>8</x:v>
      </x:c>
      <x:c r="J142" s="4" t="str">
        <x:v>AvgAcc + Non-Linear Score</x:v>
      </x:c>
      <x:c r="K142" s="4" t="n">
        <x:v>58</x:v>
      </x:c>
      <x:c r="L142" s="4" t="str">
        <x:v>W01</x:v>
      </x:c>
      <x:c r="M142" s="4" t="str">
        <x:v>unresolved</x:v>
      </x:c>
      <x:c r="N142" s="4" t="str">
        <x:v>unresolved</x:v>
      </x:c>
      <x:c r="O142" s="4" t="str">
        <x:v>unresolved</x:v>
      </x:c>
      <x:c r="P142" s="4" t="str">
        <x:v>unresolved</x:v>
      </x:c>
      <x:c r="Q142" s="4" t="str">
        <x:v>unresolved</x:v>
      </x:c>
      <x:c r="R142" s="4" t="str">
        <x:v>G03</x:v>
      </x:c>
      <x:c r="S142" s="4" t="str">
        <x:v>P02</x:v>
      </x:c>
      <x:c r="T142" s="4" t="n">
        <x:v>1</x:v>
      </x:c>
      <x:c r="U142" s="4" t="str">
        <x:v>唯一P候选</x:v>
      </x:c>
      <x:c r="V142" s="4" t="str">
        <x:v>P02</x:v>
      </x:c>
      <x:c r="W142" s="4" t="str">
        <x:v>B2</x:v>
      </x:c>
      <x:c r="X142" s="4" t="str">
        <x:v>—</x:v>
      </x:c>
      <x:c r="Y142" s="4" t="str">
        <x:v>R2</x:v>
      </x:c>
      <x:c r="Z142" s="4" t="str">
        <x:v>R2</x:v>
      </x:c>
      <x:c r="AA142" s="4" t="str">
        <x:v>原条件原样继承，未独立验证split/样本量/预算有效性；执行先检查可用模态、query_time和官方评分协议</x:v>
      </x:c>
      <x:c r="AB142" s="4" t="str">
        <x:v>第10、11板球的旋转需要先定位回合再分析运动轨迹。论文Table 4也出现Motion Trajectory Formation命名；不改官方数据标签。</x:v>
      </x:c>
    </x:row>
    <x:row r="143" ht="66" customHeight="1">
      <x:c r="A143" s="4" t="str">
        <x:v>src.video_mme_v2.narrative_cloze_inference.c01</x:v>
      </x:c>
      <x:c r="B143" s="4" t="str">
        <x:v>src.video_mme_v2.narrative_cloze_inference</x:v>
      </x:c>
      <x:c r="C143" s="4" t="str">
        <x:v>Video-MME-v2</x:v>
      </x:c>
      <x:c r="D143" s="4" t="str">
        <x:v>Narrative Cloze Inference</x:v>
      </x:c>
      <x:c r="E143" s="4" t="str">
        <x:v>—</x:v>
      </x:c>
      <x:c r="F143" s="4" t="str">
        <x:v>test/video_only</x:v>
      </x:c>
      <x:c r="G143" s="4" t="str">
        <x:v>video_only</x:v>
      </x:c>
      <x:c r="H143" s="4" t="str">
        <x:v>成组K选1</x:v>
      </x:c>
      <x:c r="I143" s="4" t="str">
        <x:v>3/7/8</x:v>
      </x:c>
      <x:c r="J143" s="4" t="str">
        <x:v>AvgAcc + Non-Linear Score</x:v>
      </x:c>
      <x:c r="K143" s="4" t="n">
        <x:v>50</x:v>
      </x:c>
      <x:c r="L143" s="4" t="str">
        <x:v>W01</x:v>
      </x:c>
      <x:c r="M143" s="4" t="str">
        <x:v>unresolved</x:v>
      </x:c>
      <x:c r="N143" s="4" t="str">
        <x:v>unresolved</x:v>
      </x:c>
      <x:c r="O143" s="4" t="str">
        <x:v>unresolved</x:v>
      </x:c>
      <x:c r="P143" s="4" t="str">
        <x:v>unresolved</x:v>
      </x:c>
      <x:c r="Q143" s="4" t="str">
        <x:v>unresolved</x:v>
      </x:c>
      <x:c r="R143" s="4" t="str">
        <x:v>G17</x:v>
      </x:c>
      <x:c r="S143" s="4" t="str">
        <x:v>P11</x:v>
      </x:c>
      <x:c r="T143" s="4" t="n">
        <x:v>1</x:v>
      </x:c>
      <x:c r="U143" s="4" t="str">
        <x:v>唯一P候选</x:v>
      </x:c>
      <x:c r="V143" s="4" t="str">
        <x:v>P11</x:v>
      </x:c>
      <x:c r="W143" s="4" t="str">
        <x:v>B1</x:v>
      </x:c>
      <x:c r="X143" s="4" t="str">
        <x:v>—</x:v>
      </x:c>
      <x:c r="Y143" s="4" t="str">
        <x:v>R6</x:v>
      </x:c>
      <x:c r="Z143" s="4" t="str">
        <x:v>R1 | R6</x:v>
      </x:c>
      <x:c r="AA143" s="4" t="str">
        <x:v>原条件原样继承，未独立验证split/样本量/预算有效性；执行先检查可用模态、query_time和官方评分协议</x:v>
      </x:c>
      <x:c r="AB143" s="4" t="str">
        <x:v>公交车乘客是谁可能直接交代也可能由叙事暗示，不能仅凭题面判定为局部题；暂R6，明示后降为R1。论文使用Narrative Clues Inference别名。</x:v>
      </x:c>
    </x:row>
    <x:row r="144" ht="66" customHeight="1">
      <x:c r="A144" s="4" t="str">
        <x:v>src.video_mme_v2.narrative_cloze_inference.c02</x:v>
      </x:c>
      <x:c r="B144" s="4" t="str">
        <x:v>src.video_mme_v2.narrative_cloze_inference</x:v>
      </x:c>
      <x:c r="C144" s="4" t="str">
        <x:v>Video-MME-v2</x:v>
      </x:c>
      <x:c r="D144" s="4" t="str">
        <x:v>Narrative Cloze Inference</x:v>
      </x:c>
      <x:c r="E144" s="4" t="str">
        <x:v>—</x:v>
      </x:c>
      <x:c r="F144" s="4" t="str">
        <x:v>test/with_subtitle_audio</x:v>
      </x:c>
      <x:c r="G144" s="4" t="str">
        <x:v>video+subtitle/audio</x:v>
      </x:c>
      <x:c r="H144" s="4" t="str">
        <x:v>成组K选1</x:v>
      </x:c>
      <x:c r="I144" s="4" t="str">
        <x:v>3/7/8</x:v>
      </x:c>
      <x:c r="J144" s="4" t="str">
        <x:v>AvgAcc + Non-Linear Score</x:v>
      </x:c>
      <x:c r="K144" s="4" t="n">
        <x:v>50</x:v>
      </x:c>
      <x:c r="L144" s="4" t="str">
        <x:v>W01</x:v>
      </x:c>
      <x:c r="M144" s="4" t="str">
        <x:v>unresolved</x:v>
      </x:c>
      <x:c r="N144" s="4" t="str">
        <x:v>unresolved</x:v>
      </x:c>
      <x:c r="O144" s="4" t="str">
        <x:v>unresolved</x:v>
      </x:c>
      <x:c r="P144" s="4" t="str">
        <x:v>unresolved</x:v>
      </x:c>
      <x:c r="Q144" s="4" t="str">
        <x:v>unresolved</x:v>
      </x:c>
      <x:c r="R144" s="4" t="str">
        <x:v>G17</x:v>
      </x:c>
      <x:c r="S144" s="4" t="str">
        <x:v>P11</x:v>
      </x:c>
      <x:c r="T144" s="4" t="n">
        <x:v>1</x:v>
      </x:c>
      <x:c r="U144" s="4" t="str">
        <x:v>唯一P候选</x:v>
      </x:c>
      <x:c r="V144" s="4" t="str">
        <x:v>P11</x:v>
      </x:c>
      <x:c r="W144" s="4" t="str">
        <x:v>B2</x:v>
      </x:c>
      <x:c r="X144" s="4" t="str">
        <x:v>—</x:v>
      </x:c>
      <x:c r="Y144" s="4" t="str">
        <x:v>R6</x:v>
      </x:c>
      <x:c r="Z144" s="4" t="str">
        <x:v>R1 | R6</x:v>
      </x:c>
      <x:c r="AA144" s="4" t="str">
        <x:v>原条件原样继承，未独立验证split/样本量/预算有效性；执行先检查可用模态、query_time和官方评分协议</x:v>
      </x:c>
      <x:c r="AB144" s="4" t="str">
        <x:v>公交车乘客是谁可能直接交代也可能由叙事暗示，不能仅凭题面判定为局部题；暂R6，明示后降为R1。论文使用Narrative Clues Inference别名。</x:v>
      </x:c>
    </x:row>
    <x:row r="145" ht="52" customHeight="1">
      <x:c r="A145" s="4" t="str">
        <x:v>src.video_mme_v2.narrative_turning_point_detection.c01</x:v>
      </x:c>
      <x:c r="B145" s="4" t="str">
        <x:v>src.video_mme_v2.narrative_turning_point_detection</x:v>
      </x:c>
      <x:c r="C145" s="4" t="str">
        <x:v>Video-MME-v2</x:v>
      </x:c>
      <x:c r="D145" s="4" t="str">
        <x:v>Narrative Turning Point Detection</x:v>
      </x:c>
      <x:c r="E145" s="4" t="str">
        <x:v>—</x:v>
      </x:c>
      <x:c r="F145" s="4" t="str">
        <x:v>test/video_only</x:v>
      </x:c>
      <x:c r="G145" s="4" t="str">
        <x:v>video_only</x:v>
      </x:c>
      <x:c r="H145" s="4" t="str">
        <x:v>成组K选1</x:v>
      </x:c>
      <x:c r="I145" s="4" t="str">
        <x:v>6/8</x:v>
      </x:c>
      <x:c r="J145" s="4" t="str">
        <x:v>AvgAcc + Non-Linear Score</x:v>
      </x:c>
      <x:c r="K145" s="4" t="n">
        <x:v>69</x:v>
      </x:c>
      <x:c r="L145" s="4" t="str">
        <x:v>W01</x:v>
      </x:c>
      <x:c r="M145" s="4" t="str">
        <x:v>unresolved</x:v>
      </x:c>
      <x:c r="N145" s="4" t="str">
        <x:v>unresolved</x:v>
      </x:c>
      <x:c r="O145" s="4" t="str">
        <x:v>unresolved</x:v>
      </x:c>
      <x:c r="P145" s="4" t="str">
        <x:v>unresolved</x:v>
      </x:c>
      <x:c r="Q145" s="4" t="str">
        <x:v>unresolved</x:v>
      </x:c>
      <x:c r="R145" s="4" t="str">
        <x:v>G17</x:v>
      </x:c>
      <x:c r="S145" s="4" t="str">
        <x:v>P11</x:v>
      </x:c>
      <x:c r="T145" s="4" t="n">
        <x:v>1</x:v>
      </x:c>
      <x:c r="U145" s="4" t="str">
        <x:v>唯一P候选</x:v>
      </x:c>
      <x:c r="V145" s="4" t="str">
        <x:v>P11</x:v>
      </x:c>
      <x:c r="W145" s="4" t="str">
        <x:v>B1</x:v>
      </x:c>
      <x:c r="X145" s="4" t="str">
        <x:v>—</x:v>
      </x:c>
      <x:c r="Y145" s="4" t="str">
        <x:v>R6</x:v>
      </x:c>
      <x:c r="Z145" s="4" t="str">
        <x:v>R6</x:v>
      </x:c>
      <x:c r="AA145" s="4" t="str">
        <x:v>原条件原样继承，未独立验证split/样本量/预算有效性；执行先检查可用模态、query_time和官方评分协议</x:v>
      </x:c>
      <x:c r="AB145" s="4" t="str">
        <x:v>最大转折是对事件重要性/叙事结构的判断；事件定位是共享模块，不等于只找时间戳。</x:v>
      </x:c>
    </x:row>
    <x:row r="146" ht="52" customHeight="1">
      <x:c r="A146" s="4" t="str">
        <x:v>src.video_mme_v2.narrative_turning_point_detection.c02</x:v>
      </x:c>
      <x:c r="B146" s="4" t="str">
        <x:v>src.video_mme_v2.narrative_turning_point_detection</x:v>
      </x:c>
      <x:c r="C146" s="4" t="str">
        <x:v>Video-MME-v2</x:v>
      </x:c>
      <x:c r="D146" s="4" t="str">
        <x:v>Narrative Turning Point Detection</x:v>
      </x:c>
      <x:c r="E146" s="4" t="str">
        <x:v>—</x:v>
      </x:c>
      <x:c r="F146" s="4" t="str">
        <x:v>test/with_subtitle_audio</x:v>
      </x:c>
      <x:c r="G146" s="4" t="str">
        <x:v>video+subtitle/audio</x:v>
      </x:c>
      <x:c r="H146" s="4" t="str">
        <x:v>成组K选1</x:v>
      </x:c>
      <x:c r="I146" s="4" t="str">
        <x:v>6/8</x:v>
      </x:c>
      <x:c r="J146" s="4" t="str">
        <x:v>AvgAcc + Non-Linear Score</x:v>
      </x:c>
      <x:c r="K146" s="4" t="n">
        <x:v>69</x:v>
      </x:c>
      <x:c r="L146" s="4" t="str">
        <x:v>W01</x:v>
      </x:c>
      <x:c r="M146" s="4" t="str">
        <x:v>unresolved</x:v>
      </x:c>
      <x:c r="N146" s="4" t="str">
        <x:v>unresolved</x:v>
      </x:c>
      <x:c r="O146" s="4" t="str">
        <x:v>unresolved</x:v>
      </x:c>
      <x:c r="P146" s="4" t="str">
        <x:v>unresolved</x:v>
      </x:c>
      <x:c r="Q146" s="4" t="str">
        <x:v>unresolved</x:v>
      </x:c>
      <x:c r="R146" s="4" t="str">
        <x:v>G17</x:v>
      </x:c>
      <x:c r="S146" s="4" t="str">
        <x:v>P11</x:v>
      </x:c>
      <x:c r="T146" s="4" t="n">
        <x:v>1</x:v>
      </x:c>
      <x:c r="U146" s="4" t="str">
        <x:v>唯一P候选</x:v>
      </x:c>
      <x:c r="V146" s="4" t="str">
        <x:v>P11</x:v>
      </x:c>
      <x:c r="W146" s="4" t="str">
        <x:v>B2</x:v>
      </x:c>
      <x:c r="X146" s="4" t="str">
        <x:v>—</x:v>
      </x:c>
      <x:c r="Y146" s="4" t="str">
        <x:v>R6</x:v>
      </x:c>
      <x:c r="Z146" s="4" t="str">
        <x:v>R6</x:v>
      </x:c>
      <x:c r="AA146" s="4" t="str">
        <x:v>原条件原样继承，未独立验证split/样本量/预算有效性；执行先检查可用模态、query_time和官方评分协议</x:v>
      </x:c>
      <x:c r="AB146" s="4" t="str">
        <x:v>最大转折是对事件重要性/叙事结构的判断；事件定位是共享模块，不等于只找时间戳。</x:v>
      </x:c>
    </x:row>
    <x:row r="147" ht="52" customHeight="1">
      <x:c r="A147" s="4" t="str">
        <x:v>src.video_mme_v2.numerical_calculation.c01</x:v>
      </x:c>
      <x:c r="B147" s="4" t="str">
        <x:v>src.video_mme_v2.numerical_calculation</x:v>
      </x:c>
      <x:c r="C147" s="4" t="str">
        <x:v>Video-MME-v2</x:v>
      </x:c>
      <x:c r="D147" s="4" t="str">
        <x:v>Numerical Calculation</x:v>
      </x:c>
      <x:c r="E147" s="4" t="str">
        <x:v>—</x:v>
      </x:c>
      <x:c r="F147" s="4" t="str">
        <x:v>test/video_only</x:v>
      </x:c>
      <x:c r="G147" s="4" t="str">
        <x:v>video_only</x:v>
      </x:c>
      <x:c r="H147" s="4" t="str">
        <x:v>成组K选1</x:v>
      </x:c>
      <x:c r="I147" s="4" t="str">
        <x:v>3/8</x:v>
      </x:c>
      <x:c r="J147" s="4" t="str">
        <x:v>AvgAcc + Non-Linear Score</x:v>
      </x:c>
      <x:c r="K147" s="4" t="n">
        <x:v>106</x:v>
      </x:c>
      <x:c r="L147" s="4" t="str">
        <x:v>W01</x:v>
      </x:c>
      <x:c r="M147" s="4" t="str">
        <x:v>unresolved</x:v>
      </x:c>
      <x:c r="N147" s="4" t="str">
        <x:v>unresolved</x:v>
      </x:c>
      <x:c r="O147" s="4" t="str">
        <x:v>unresolved</x:v>
      </x:c>
      <x:c r="P147" s="4" t="str">
        <x:v>unresolved</x:v>
      </x:c>
      <x:c r="Q147" s="4" t="str">
        <x:v>unresolved</x:v>
      </x:c>
      <x:c r="R147" s="4" t="str">
        <x:v>G33</x:v>
      </x:c>
      <x:c r="S147" s="4" t="str">
        <x:v>P15</x:v>
      </x:c>
      <x:c r="T147" s="4" t="n">
        <x:v>1</x:v>
      </x:c>
      <x:c r="U147" s="4" t="str">
        <x:v>唯一P候选</x:v>
      </x:c>
      <x:c r="V147" s="4" t="str">
        <x:v>P15</x:v>
      </x:c>
      <x:c r="W147" s="4" t="str">
        <x:v>B1</x:v>
      </x:c>
      <x:c r="X147" s="4" t="str">
        <x:v>—</x:v>
      </x:c>
      <x:c r="Y147" s="4" t="str">
        <x:v>R8</x:v>
      </x:c>
      <x:c r="Z147" s="4" t="str">
        <x:v>R8</x:v>
      </x:c>
      <x:c r="AA147" s="4" t="str">
        <x:v>原条件原样继承，未独立验证split/样本量/预算有效性；执行先检查可用模态、query_time和官方评分协议</x:v>
      </x:c>
      <x:c r="AB147" s="4" t="str">
        <x:v>读取图式/变量约束后求x与b关系，输出可核验的符号或数值结果。</x:v>
      </x:c>
    </x:row>
    <x:row r="148" ht="52" customHeight="1">
      <x:c r="A148" s="4" t="str">
        <x:v>src.video_mme_v2.numerical_calculation.c02</x:v>
      </x:c>
      <x:c r="B148" s="4" t="str">
        <x:v>src.video_mme_v2.numerical_calculation</x:v>
      </x:c>
      <x:c r="C148" s="4" t="str">
        <x:v>Video-MME-v2</x:v>
      </x:c>
      <x:c r="D148" s="4" t="str">
        <x:v>Numerical Calculation</x:v>
      </x:c>
      <x:c r="E148" s="4" t="str">
        <x:v>—</x:v>
      </x:c>
      <x:c r="F148" s="4" t="str">
        <x:v>test/with_subtitle_audio</x:v>
      </x:c>
      <x:c r="G148" s="4" t="str">
        <x:v>video+subtitle/audio</x:v>
      </x:c>
      <x:c r="H148" s="4" t="str">
        <x:v>成组K选1</x:v>
      </x:c>
      <x:c r="I148" s="4" t="str">
        <x:v>3/8</x:v>
      </x:c>
      <x:c r="J148" s="4" t="str">
        <x:v>AvgAcc + Non-Linear Score</x:v>
      </x:c>
      <x:c r="K148" s="4" t="n">
        <x:v>106</x:v>
      </x:c>
      <x:c r="L148" s="4" t="str">
        <x:v>W01</x:v>
      </x:c>
      <x:c r="M148" s="4" t="str">
        <x:v>unresolved</x:v>
      </x:c>
      <x:c r="N148" s="4" t="str">
        <x:v>unresolved</x:v>
      </x:c>
      <x:c r="O148" s="4" t="str">
        <x:v>unresolved</x:v>
      </x:c>
      <x:c r="P148" s="4" t="str">
        <x:v>unresolved</x:v>
      </x:c>
      <x:c r="Q148" s="4" t="str">
        <x:v>unresolved</x:v>
      </x:c>
      <x:c r="R148" s="4" t="str">
        <x:v>G33</x:v>
      </x:c>
      <x:c r="S148" s="4" t="str">
        <x:v>P15</x:v>
      </x:c>
      <x:c r="T148" s="4" t="n">
        <x:v>1</x:v>
      </x:c>
      <x:c r="U148" s="4" t="str">
        <x:v>唯一P候选</x:v>
      </x:c>
      <x:c r="V148" s="4" t="str">
        <x:v>P15</x:v>
      </x:c>
      <x:c r="W148" s="4" t="str">
        <x:v>B2</x:v>
      </x:c>
      <x:c r="X148" s="4" t="str">
        <x:v>—</x:v>
      </x:c>
      <x:c r="Y148" s="4" t="str">
        <x:v>R8</x:v>
      </x:c>
      <x:c r="Z148" s="4" t="str">
        <x:v>R8</x:v>
      </x:c>
      <x:c r="AA148" s="4" t="str">
        <x:v>原条件原样继承，未独立验证split/样本量/预算有效性；执行先检查可用模态、query_time和官方评分协议</x:v>
      </x:c>
      <x:c r="AB148" s="4" t="str">
        <x:v>读取图式/变量约束后求x与b关系，输出可核验的符号或数值结果。</x:v>
      </x:c>
    </x:row>
    <x:row r="149" ht="52" customHeight="1">
      <x:c r="A149" s="4" t="str">
        <x:v>src.video_mme_v2.object_appearance_ordering.c01</x:v>
      </x:c>
      <x:c r="B149" s="4" t="str">
        <x:v>src.video_mme_v2.object_appearance_ordering</x:v>
      </x:c>
      <x:c r="C149" s="4" t="str">
        <x:v>Video-MME-v2</x:v>
      </x:c>
      <x:c r="D149" s="4" t="str">
        <x:v>Object Appearance Ordering</x:v>
      </x:c>
      <x:c r="E149" s="4" t="str">
        <x:v>—</x:v>
      </x:c>
      <x:c r="F149" s="4" t="str">
        <x:v>test/video_only</x:v>
      </x:c>
      <x:c r="G149" s="4" t="str">
        <x:v>video_only</x:v>
      </x:c>
      <x:c r="H149" s="4" t="str">
        <x:v>成组K选1</x:v>
      </x:c>
      <x:c r="I149" s="4" t="str">
        <x:v>8</x:v>
      </x:c>
      <x:c r="J149" s="4" t="str">
        <x:v>AvgAcc + Non-Linear Score</x:v>
      </x:c>
      <x:c r="K149" s="4" t="n">
        <x:v>124</x:v>
      </x:c>
      <x:c r="L149" s="4" t="str">
        <x:v>W01</x:v>
      </x:c>
      <x:c r="M149" s="4" t="str">
        <x:v>unresolved</x:v>
      </x:c>
      <x:c r="N149" s="4" t="str">
        <x:v>unresolved</x:v>
      </x:c>
      <x:c r="O149" s="4" t="str">
        <x:v>unresolved</x:v>
      </x:c>
      <x:c r="P149" s="4" t="str">
        <x:v>unresolved</x:v>
      </x:c>
      <x:c r="Q149" s="4" t="str">
        <x:v>unresolved</x:v>
      </x:c>
      <x:c r="R149" s="4" t="str">
        <x:v>G11</x:v>
      </x:c>
      <x:c r="S149" s="4" t="str">
        <x:v>P07</x:v>
      </x:c>
      <x:c r="T149" s="4" t="n">
        <x:v>1</x:v>
      </x:c>
      <x:c r="U149" s="4" t="str">
        <x:v>唯一P候选</x:v>
      </x:c>
      <x:c r="V149" s="4" t="str">
        <x:v>P07</x:v>
      </x:c>
      <x:c r="W149" s="4" t="str">
        <x:v>B1</x:v>
      </x:c>
      <x:c r="X149" s="4" t="str">
        <x:v>—</x:v>
      </x:c>
      <x:c r="Y149" s="4" t="str">
        <x:v>R3</x:v>
      </x:c>
      <x:c r="Z149" s="4" t="str">
        <x:v>R3</x:v>
      </x:c>
      <x:c r="AA149" s="4" t="str">
        <x:v>原条件原样继承，未独立验证split/样本量/预算有效性；执行先检查可用模态、query_time和官方评分协议</x:v>
      </x:c>
      <x:c r="AB149" s="4" t="str">
        <x:v>最后五种水生动物的出现顺序依赖事件时间索引及尾段覆盖；按题目指定出现/首次/末次口径。</x:v>
      </x:c>
    </x:row>
    <x:row r="150" ht="52" customHeight="1">
      <x:c r="A150" s="4" t="str">
        <x:v>src.video_mme_v2.object_appearance_ordering.c02</x:v>
      </x:c>
      <x:c r="B150" s="4" t="str">
        <x:v>src.video_mme_v2.object_appearance_ordering</x:v>
      </x:c>
      <x:c r="C150" s="4" t="str">
        <x:v>Video-MME-v2</x:v>
      </x:c>
      <x:c r="D150" s="4" t="str">
        <x:v>Object Appearance Ordering</x:v>
      </x:c>
      <x:c r="E150" s="4" t="str">
        <x:v>—</x:v>
      </x:c>
      <x:c r="F150" s="4" t="str">
        <x:v>test/with_subtitle_audio</x:v>
      </x:c>
      <x:c r="G150" s="4" t="str">
        <x:v>video+subtitle/audio</x:v>
      </x:c>
      <x:c r="H150" s="4" t="str">
        <x:v>成组K选1</x:v>
      </x:c>
      <x:c r="I150" s="4" t="str">
        <x:v>8</x:v>
      </x:c>
      <x:c r="J150" s="4" t="str">
        <x:v>AvgAcc + Non-Linear Score</x:v>
      </x:c>
      <x:c r="K150" s="4" t="n">
        <x:v>124</x:v>
      </x:c>
      <x:c r="L150" s="4" t="str">
        <x:v>W01</x:v>
      </x:c>
      <x:c r="M150" s="4" t="str">
        <x:v>unresolved</x:v>
      </x:c>
      <x:c r="N150" s="4" t="str">
        <x:v>unresolved</x:v>
      </x:c>
      <x:c r="O150" s="4" t="str">
        <x:v>unresolved</x:v>
      </x:c>
      <x:c r="P150" s="4" t="str">
        <x:v>unresolved</x:v>
      </x:c>
      <x:c r="Q150" s="4" t="str">
        <x:v>unresolved</x:v>
      </x:c>
      <x:c r="R150" s="4" t="str">
        <x:v>G11</x:v>
      </x:c>
      <x:c r="S150" s="4" t="str">
        <x:v>P07</x:v>
      </x:c>
      <x:c r="T150" s="4" t="n">
        <x:v>1</x:v>
      </x:c>
      <x:c r="U150" s="4" t="str">
        <x:v>唯一P候选</x:v>
      </x:c>
      <x:c r="V150" s="4" t="str">
        <x:v>P07</x:v>
      </x:c>
      <x:c r="W150" s="4" t="str">
        <x:v>B2</x:v>
      </x:c>
      <x:c r="X150" s="4" t="str">
        <x:v>—</x:v>
      </x:c>
      <x:c r="Y150" s="4" t="str">
        <x:v>R3</x:v>
      </x:c>
      <x:c r="Z150" s="4" t="str">
        <x:v>R3</x:v>
      </x:c>
      <x:c r="AA150" s="4" t="str">
        <x:v>原条件原样继承，未独立验证split/样本量/预算有效性；执行先检查可用模态、query_time和官方评分协议</x:v>
      </x:c>
      <x:c r="AB150" s="4" t="str">
        <x:v>最后五种水生动物的出现顺序依赖事件时间索引及尾段覆盖；按题目指定出现/首次/末次口径。</x:v>
      </x:c>
    </x:row>
    <x:row r="151" ht="52" customHeight="1">
      <x:c r="A151" s="4" t="str">
        <x:v>src.video_mme_v2.professional_knowledge_acquisition.c01</x:v>
      </x:c>
      <x:c r="B151" s="4" t="str">
        <x:v>src.video_mme_v2.professional_knowledge_acquisition</x:v>
      </x:c>
      <x:c r="C151" s="4" t="str">
        <x:v>Video-MME-v2</x:v>
      </x:c>
      <x:c r="D151" s="4" t="str">
        <x:v>Professional Knowledge Acquisition</x:v>
      </x:c>
      <x:c r="E151" s="4" t="str">
        <x:v>—</x:v>
      </x:c>
      <x:c r="F151" s="4" t="str">
        <x:v>test/video_only</x:v>
      </x:c>
      <x:c r="G151" s="4" t="str">
        <x:v>video_only</x:v>
      </x:c>
      <x:c r="H151" s="4" t="str">
        <x:v>成组K选1</x:v>
      </x:c>
      <x:c r="I151" s="4" t="str">
        <x:v>2/3/8</x:v>
      </x:c>
      <x:c r="J151" s="4" t="str">
        <x:v>AvgAcc + Non-Linear Score</x:v>
      </x:c>
      <x:c r="K151" s="4" t="n">
        <x:v>145</x:v>
      </x:c>
      <x:c r="L151" s="4" t="str">
        <x:v>W01</x:v>
      </x:c>
      <x:c r="M151" s="4" t="str">
        <x:v>unresolved</x:v>
      </x:c>
      <x:c r="N151" s="4" t="str">
        <x:v>unresolved</x:v>
      </x:c>
      <x:c r="O151" s="4" t="str">
        <x:v>unresolved</x:v>
      </x:c>
      <x:c r="P151" s="4" t="str">
        <x:v>unresolved</x:v>
      </x:c>
      <x:c r="Q151" s="4" t="str">
        <x:v>unresolved</x:v>
      </x:c>
      <x:c r="R151" s="4" t="str">
        <x:v>G33</x:v>
      </x:c>
      <x:c r="S151" s="4" t="str">
        <x:v>P15</x:v>
      </x:c>
      <x:c r="T151" s="4" t="n">
        <x:v>1</x:v>
      </x:c>
      <x:c r="U151" s="4" t="str">
        <x:v>唯一P候选</x:v>
      </x:c>
      <x:c r="V151" s="4" t="str">
        <x:v>P15</x:v>
      </x:c>
      <x:c r="W151" s="4" t="str">
        <x:v>B1</x:v>
      </x:c>
      <x:c r="X151" s="4" t="str">
        <x:v>—</x:v>
      </x:c>
      <x:c r="Y151" s="4" t="str">
        <x:v>R6</x:v>
      </x:c>
      <x:c r="Z151" s="4" t="str">
        <x:v>R1 | R6 | R8</x:v>
      </x:c>
      <x:c r="AA151" s="4" t="str">
        <x:v>原条件原样继承，未独立验证split/样本量/预算有效性；执行先检查可用模态、query_time和官方评分协议</x:v>
      </x:c>
      <x:c r="AB151" s="4" t="str">
        <x:v>矩形面积示例R8；但专业知识类本身还含明示知识取证R1和概念应用R6，不能整类等同数学求解。</x:v>
      </x:c>
    </x:row>
    <x:row r="152" ht="52" customHeight="1">
      <x:c r="A152" s="4" t="str">
        <x:v>src.video_mme_v2.professional_knowledge_acquisition.c02</x:v>
      </x:c>
      <x:c r="B152" s="4" t="str">
        <x:v>src.video_mme_v2.professional_knowledge_acquisition</x:v>
      </x:c>
      <x:c r="C152" s="4" t="str">
        <x:v>Video-MME-v2</x:v>
      </x:c>
      <x:c r="D152" s="4" t="str">
        <x:v>Professional Knowledge Acquisition</x:v>
      </x:c>
      <x:c r="E152" s="4" t="str">
        <x:v>—</x:v>
      </x:c>
      <x:c r="F152" s="4" t="str">
        <x:v>test/with_subtitle_audio</x:v>
      </x:c>
      <x:c r="G152" s="4" t="str">
        <x:v>video+subtitle/audio</x:v>
      </x:c>
      <x:c r="H152" s="4" t="str">
        <x:v>成组K选1</x:v>
      </x:c>
      <x:c r="I152" s="4" t="str">
        <x:v>2/3/8</x:v>
      </x:c>
      <x:c r="J152" s="4" t="str">
        <x:v>AvgAcc + Non-Linear Score</x:v>
      </x:c>
      <x:c r="K152" s="4" t="n">
        <x:v>145</x:v>
      </x:c>
      <x:c r="L152" s="4" t="str">
        <x:v>W01</x:v>
      </x:c>
      <x:c r="M152" s="4" t="str">
        <x:v>unresolved</x:v>
      </x:c>
      <x:c r="N152" s="4" t="str">
        <x:v>unresolved</x:v>
      </x:c>
      <x:c r="O152" s="4" t="str">
        <x:v>unresolved</x:v>
      </x:c>
      <x:c r="P152" s="4" t="str">
        <x:v>unresolved</x:v>
      </x:c>
      <x:c r="Q152" s="4" t="str">
        <x:v>unresolved</x:v>
      </x:c>
      <x:c r="R152" s="4" t="str">
        <x:v>G33</x:v>
      </x:c>
      <x:c r="S152" s="4" t="str">
        <x:v>P15</x:v>
      </x:c>
      <x:c r="T152" s="4" t="n">
        <x:v>1</x:v>
      </x:c>
      <x:c r="U152" s="4" t="str">
        <x:v>唯一P候选</x:v>
      </x:c>
      <x:c r="V152" s="4" t="str">
        <x:v>P15</x:v>
      </x:c>
      <x:c r="W152" s="4" t="str">
        <x:v>B2</x:v>
      </x:c>
      <x:c r="X152" s="4" t="str">
        <x:v>—</x:v>
      </x:c>
      <x:c r="Y152" s="4" t="str">
        <x:v>R6</x:v>
      </x:c>
      <x:c r="Z152" s="4" t="str">
        <x:v>R1 | R6 | R8</x:v>
      </x:c>
      <x:c r="AA152" s="4" t="str">
        <x:v>原条件原样继承，未独立验证split/样本量/预算有效性；执行先检查可用模态、query_time和官方评分协议</x:v>
      </x:c>
      <x:c r="AB152" s="4" t="str">
        <x:v>矩形面积示例R8；但专业知识类本身还含明示知识取证R1和概念应用R6，不能整类等同数学求解。</x:v>
      </x:c>
    </x:row>
    <x:row r="153" ht="52" customHeight="1">
      <x:c r="A153" s="4" t="str">
        <x:v>src.video_mme_v2.repetitive_action_counting.c01</x:v>
      </x:c>
      <x:c r="B153" s="4" t="str">
        <x:v>src.video_mme_v2.repetitive_action_counting</x:v>
      </x:c>
      <x:c r="C153" s="4" t="str">
        <x:v>Video-MME-v2</x:v>
      </x:c>
      <x:c r="D153" s="4" t="str">
        <x:v>Repetitive Action Counting</x:v>
      </x:c>
      <x:c r="E153" s="4" t="str">
        <x:v>—</x:v>
      </x:c>
      <x:c r="F153" s="4" t="str">
        <x:v>test/video_only</x:v>
      </x:c>
      <x:c r="G153" s="4" t="str">
        <x:v>video_only</x:v>
      </x:c>
      <x:c r="H153" s="4" t="str">
        <x:v>成组K选1</x:v>
      </x:c>
      <x:c r="I153" s="4" t="str">
        <x:v>8</x:v>
      </x:c>
      <x:c r="J153" s="4" t="str">
        <x:v>AvgAcc + Non-Linear Score</x:v>
      </x:c>
      <x:c r="K153" s="4" t="n">
        <x:v>49</x:v>
      </x:c>
      <x:c r="L153" s="4" t="str">
        <x:v>W01</x:v>
      </x:c>
      <x:c r="M153" s="4" t="str">
        <x:v>unresolved</x:v>
      </x:c>
      <x:c r="N153" s="4" t="str">
        <x:v>unresolved</x:v>
      </x:c>
      <x:c r="O153" s="4" t="str">
        <x:v>unresolved</x:v>
      </x:c>
      <x:c r="P153" s="4" t="str">
        <x:v>unresolved</x:v>
      </x:c>
      <x:c r="Q153" s="4" t="str">
        <x:v>unresolved</x:v>
      </x:c>
      <x:c r="R153" s="4" t="str">
        <x:v>G21 | G22</x:v>
      </x:c>
      <x:c r="S153" s="4" t="str">
        <x:v>P05</x:v>
      </x:c>
      <x:c r="T153" s="4" t="n">
        <x:v>1</x:v>
      </x:c>
      <x:c r="U153" s="4" t="str">
        <x:v>唯一P候选</x:v>
      </x:c>
      <x:c r="V153" s="4" t="str">
        <x:v>P05</x:v>
      </x:c>
      <x:c r="W153" s="4" t="str">
        <x:v>B1</x:v>
      </x:c>
      <x:c r="X153" s="4" t="str">
        <x:v>P05扫描计划仍需显式预算</x:v>
      </x:c>
      <x:c r="Y153" s="4" t="str">
        <x:v>R3</x:v>
      </x:c>
      <x:c r="Z153" s="4" t="str">
        <x:v>R3</x:v>
      </x:c>
      <x:c r="AA153" s="4" t="str">
        <x:v>原条件原样继承，未独立验证split/样本量/预算有效性；执行先检查可用模态、query_time和官方评分协议</x:v>
      </x:c>
      <x:c r="AB153" s="4" t="str">
        <x:v>数soda pop对应动作完成了几次，需要独立occurrence边界与窗口去重。</x:v>
      </x:c>
    </x:row>
    <x:row r="154" ht="52" customHeight="1">
      <x:c r="A154" s="4" t="str">
        <x:v>src.video_mme_v2.repetitive_action_counting.c02</x:v>
      </x:c>
      <x:c r="B154" s="4" t="str">
        <x:v>src.video_mme_v2.repetitive_action_counting</x:v>
      </x:c>
      <x:c r="C154" s="4" t="str">
        <x:v>Video-MME-v2</x:v>
      </x:c>
      <x:c r="D154" s="4" t="str">
        <x:v>Repetitive Action Counting</x:v>
      </x:c>
      <x:c r="E154" s="4" t="str">
        <x:v>—</x:v>
      </x:c>
      <x:c r="F154" s="4" t="str">
        <x:v>test/with_subtitle_audio</x:v>
      </x:c>
      <x:c r="G154" s="4" t="str">
        <x:v>video+subtitle/audio</x:v>
      </x:c>
      <x:c r="H154" s="4" t="str">
        <x:v>成组K选1</x:v>
      </x:c>
      <x:c r="I154" s="4" t="str">
        <x:v>8</x:v>
      </x:c>
      <x:c r="J154" s="4" t="str">
        <x:v>AvgAcc + Non-Linear Score</x:v>
      </x:c>
      <x:c r="K154" s="4" t="n">
        <x:v>49</x:v>
      </x:c>
      <x:c r="L154" s="4" t="str">
        <x:v>W01</x:v>
      </x:c>
      <x:c r="M154" s="4" t="str">
        <x:v>unresolved</x:v>
      </x:c>
      <x:c r="N154" s="4" t="str">
        <x:v>unresolved</x:v>
      </x:c>
      <x:c r="O154" s="4" t="str">
        <x:v>unresolved</x:v>
      </x:c>
      <x:c r="P154" s="4" t="str">
        <x:v>unresolved</x:v>
      </x:c>
      <x:c r="Q154" s="4" t="str">
        <x:v>unresolved</x:v>
      </x:c>
      <x:c r="R154" s="4" t="str">
        <x:v>G21 | G22</x:v>
      </x:c>
      <x:c r="S154" s="4" t="str">
        <x:v>P05</x:v>
      </x:c>
      <x:c r="T154" s="4" t="n">
        <x:v>1</x:v>
      </x:c>
      <x:c r="U154" s="4" t="str">
        <x:v>唯一P候选</x:v>
      </x:c>
      <x:c r="V154" s="4" t="str">
        <x:v>P05</x:v>
      </x:c>
      <x:c r="W154" s="4" t="str">
        <x:v>B2</x:v>
      </x:c>
      <x:c r="X154" s="4" t="str">
        <x:v>P05扫描计划仍需显式预算</x:v>
      </x:c>
      <x:c r="Y154" s="4" t="str">
        <x:v>R3</x:v>
      </x:c>
      <x:c r="Z154" s="4" t="str">
        <x:v>R3</x:v>
      </x:c>
      <x:c r="AA154" s="4" t="str">
        <x:v>原条件原样继承，未独立验证split/样本量/预算有效性；执行先检查可用模态、query_time和官方评分协议</x:v>
      </x:c>
      <x:c r="AB154" s="4" t="str">
        <x:v>数soda pop对应动作完成了几次，需要独立occurrence边界与窗口去重。</x:v>
      </x:c>
    </x:row>
    <x:row r="155" ht="52" customHeight="1">
      <x:c r="A155" s="4" t="str">
        <x:v>src.video_mme_v2.scene_transformation_detection.c01</x:v>
      </x:c>
      <x:c r="B155" s="4" t="str">
        <x:v>src.video_mme_v2.scene_transformation_detection</x:v>
      </x:c>
      <x:c r="C155" s="4" t="str">
        <x:v>Video-MME-v2</x:v>
      </x:c>
      <x:c r="D155" s="4" t="str">
        <x:v>Scene Transformation Detection</x:v>
      </x:c>
      <x:c r="E155" s="4" t="str">
        <x:v>—</x:v>
      </x:c>
      <x:c r="F155" s="4" t="str">
        <x:v>test/video_only</x:v>
      </x:c>
      <x:c r="G155" s="4" t="str">
        <x:v>video_only</x:v>
      </x:c>
      <x:c r="H155" s="4" t="str">
        <x:v>成组K选1</x:v>
      </x:c>
      <x:c r="I155" s="4" t="str">
        <x:v>8</x:v>
      </x:c>
      <x:c r="J155" s="4" t="str">
        <x:v>AvgAcc + Non-Linear Score</x:v>
      </x:c>
      <x:c r="K155" s="4" t="n">
        <x:v>55</x:v>
      </x:c>
      <x:c r="L155" s="4" t="str">
        <x:v>W01</x:v>
      </x:c>
      <x:c r="M155" s="4" t="str">
        <x:v>unresolved</x:v>
      </x:c>
      <x:c r="N155" s="4" t="str">
        <x:v>unresolved</x:v>
      </x:c>
      <x:c r="O155" s="4" t="str">
        <x:v>unresolved</x:v>
      </x:c>
      <x:c r="P155" s="4" t="str">
        <x:v>unresolved</x:v>
      </x:c>
      <x:c r="Q155" s="4" t="str">
        <x:v>unresolved</x:v>
      </x:c>
      <x:c r="R155" s="4" t="str">
        <x:v>G04</x:v>
      </x:c>
      <x:c r="S155" s="4" t="str">
        <x:v>P06</x:v>
      </x:c>
      <x:c r="T155" s="4" t="n">
        <x:v>1</x:v>
      </x:c>
      <x:c r="U155" s="4" t="str">
        <x:v>唯一P候选</x:v>
      </x:c>
      <x:c r="V155" s="4" t="str">
        <x:v>P06</x:v>
      </x:c>
      <x:c r="W155" s="4" t="str">
        <x:v>B1</x:v>
      </x:c>
      <x:c r="X155" s="4" t="str">
        <x:v>—</x:v>
      </x:c>
      <x:c r="Y155" s="4" t="str">
        <x:v>R2</x:v>
      </x:c>
      <x:c r="Z155" s="4" t="str">
        <x:v>R2 | R3</x:v>
      </x:c>
      <x:c r="AA155" s="4" t="str">
        <x:v>原条件原样继承，未独立验证split/样本量/预算有效性；执行先检查可用模态、query_time和官方评分协议</x:v>
      </x:c>
      <x:c r="AB155" s="4" t="str">
        <x:v>Level 3到4装置变化是对齐后的状态差分；若问场景切换何时/顺序，改事件时间账本R3。</x:v>
      </x:c>
    </x:row>
    <x:row r="156" ht="52" customHeight="1">
      <x:c r="A156" s="4" t="str">
        <x:v>src.video_mme_v2.scene_transformation_detection.c02</x:v>
      </x:c>
      <x:c r="B156" s="4" t="str">
        <x:v>src.video_mme_v2.scene_transformation_detection</x:v>
      </x:c>
      <x:c r="C156" s="4" t="str">
        <x:v>Video-MME-v2</x:v>
      </x:c>
      <x:c r="D156" s="4" t="str">
        <x:v>Scene Transformation Detection</x:v>
      </x:c>
      <x:c r="E156" s="4" t="str">
        <x:v>—</x:v>
      </x:c>
      <x:c r="F156" s="4" t="str">
        <x:v>test/with_subtitle_audio</x:v>
      </x:c>
      <x:c r="G156" s="4" t="str">
        <x:v>video+subtitle/audio</x:v>
      </x:c>
      <x:c r="H156" s="4" t="str">
        <x:v>成组K选1</x:v>
      </x:c>
      <x:c r="I156" s="4" t="str">
        <x:v>8</x:v>
      </x:c>
      <x:c r="J156" s="4" t="str">
        <x:v>AvgAcc + Non-Linear Score</x:v>
      </x:c>
      <x:c r="K156" s="4" t="n">
        <x:v>55</x:v>
      </x:c>
      <x:c r="L156" s="4" t="str">
        <x:v>W01</x:v>
      </x:c>
      <x:c r="M156" s="4" t="str">
        <x:v>unresolved</x:v>
      </x:c>
      <x:c r="N156" s="4" t="str">
        <x:v>unresolved</x:v>
      </x:c>
      <x:c r="O156" s="4" t="str">
        <x:v>unresolved</x:v>
      </x:c>
      <x:c r="P156" s="4" t="str">
        <x:v>unresolved</x:v>
      </x:c>
      <x:c r="Q156" s="4" t="str">
        <x:v>unresolved</x:v>
      </x:c>
      <x:c r="R156" s="4" t="str">
        <x:v>G04</x:v>
      </x:c>
      <x:c r="S156" s="4" t="str">
        <x:v>P06</x:v>
      </x:c>
      <x:c r="T156" s="4" t="n">
        <x:v>1</x:v>
      </x:c>
      <x:c r="U156" s="4" t="str">
        <x:v>唯一P候选</x:v>
      </x:c>
      <x:c r="V156" s="4" t="str">
        <x:v>P06</x:v>
      </x:c>
      <x:c r="W156" s="4" t="str">
        <x:v>B2</x:v>
      </x:c>
      <x:c r="X156" s="4" t="str">
        <x:v>—</x:v>
      </x:c>
      <x:c r="Y156" s="4" t="str">
        <x:v>R2</x:v>
      </x:c>
      <x:c r="Z156" s="4" t="str">
        <x:v>R2 | R3</x:v>
      </x:c>
      <x:c r="AA156" s="4" t="str">
        <x:v>原条件原样继承，未独立验证split/样本量/预算有效性；执行先检查可用模态、query_time和官方评分协议</x:v>
      </x:c>
      <x:c r="AB156" s="4" t="str">
        <x:v>Level 3到4装置变化是对齐后的状态差分；若问场景切换何时/顺序，改事件时间账本R3。</x:v>
      </x:c>
    </x:row>
    <x:row r="157" ht="52" customHeight="1">
      <x:c r="A157" s="4" t="str">
        <x:v>src.video_mme_v2.spatial_understanding.c01</x:v>
      </x:c>
      <x:c r="B157" s="4" t="str">
        <x:v>src.video_mme_v2.spatial_understanding</x:v>
      </x:c>
      <x:c r="C157" s="4" t="str">
        <x:v>Video-MME-v2</x:v>
      </x:c>
      <x:c r="D157" s="4" t="str">
        <x:v>Spatial Understanding</x:v>
      </x:c>
      <x:c r="E157" s="4" t="str">
        <x:v>—</x:v>
      </x:c>
      <x:c r="F157" s="4" t="str">
        <x:v>test/video_only</x:v>
      </x:c>
      <x:c r="G157" s="4" t="str">
        <x:v>video_only</x:v>
      </x:c>
      <x:c r="H157" s="4" t="str">
        <x:v>成组K选1</x:v>
      </x:c>
      <x:c r="I157" s="4" t="str">
        <x:v>6/8</x:v>
      </x:c>
      <x:c r="J157" s="4" t="str">
        <x:v>AvgAcc + Non-Linear Score</x:v>
      </x:c>
      <x:c r="K157" s="4" t="n">
        <x:v>95</x:v>
      </x:c>
      <x:c r="L157" s="4" t="str">
        <x:v>W01</x:v>
      </x:c>
      <x:c r="M157" s="4" t="str">
        <x:v>unresolved</x:v>
      </x:c>
      <x:c r="N157" s="4" t="str">
        <x:v>unresolved</x:v>
      </x:c>
      <x:c r="O157" s="4" t="str">
        <x:v>unresolved</x:v>
      </x:c>
      <x:c r="P157" s="4" t="str">
        <x:v>unresolved</x:v>
      </x:c>
      <x:c r="Q157" s="4" t="str">
        <x:v>unresolved</x:v>
      </x:c>
      <x:c r="R157" s="4" t="str">
        <x:v>G43</x:v>
      </x:c>
      <x:c r="S157" s="4" t="str">
        <x:v>P04</x:v>
      </x:c>
      <x:c r="T157" s="4" t="n">
        <x:v>1</x:v>
      </x:c>
      <x:c r="U157" s="4" t="str">
        <x:v>唯一P候选</x:v>
      </x:c>
      <x:c r="V157" s="4" t="str">
        <x:v>P04</x:v>
      </x:c>
      <x:c r="W157" s="4" t="str">
        <x:v>B1</x:v>
      </x:c>
      <x:c r="X157" s="4" t="str">
        <x:v>—</x:v>
      </x:c>
      <x:c r="Y157" s="4" t="str">
        <x:v>R9</x:v>
      </x:c>
      <x:c r="Z157" s="4" t="str">
        <x:v>R1 | R9</x:v>
      </x:c>
      <x:c r="AA157" s="4" t="str">
        <x:v>原条件原样继承，未独立验证split/样本量/预算有效性；执行先检查可用模态、query_time和官方评分协议</x:v>
      </x:c>
      <x:c r="AB157" s="4" t="str">
        <x:v>追逐后朝向相对初始方向需统一参考系并更新方向状态；屏幕中直接左右可R1。</x:v>
      </x:c>
    </x:row>
    <x:row r="158" ht="52" customHeight="1">
      <x:c r="A158" s="4" t="str">
        <x:v>src.video_mme_v2.spatial_understanding.c02</x:v>
      </x:c>
      <x:c r="B158" s="4" t="str">
        <x:v>src.video_mme_v2.spatial_understanding</x:v>
      </x:c>
      <x:c r="C158" s="4" t="str">
        <x:v>Video-MME-v2</x:v>
      </x:c>
      <x:c r="D158" s="4" t="str">
        <x:v>Spatial Understanding</x:v>
      </x:c>
      <x:c r="E158" s="4" t="str">
        <x:v>—</x:v>
      </x:c>
      <x:c r="F158" s="4" t="str">
        <x:v>test/with_subtitle_audio</x:v>
      </x:c>
      <x:c r="G158" s="4" t="str">
        <x:v>video+subtitle/audio</x:v>
      </x:c>
      <x:c r="H158" s="4" t="str">
        <x:v>成组K选1</x:v>
      </x:c>
      <x:c r="I158" s="4" t="str">
        <x:v>6/8</x:v>
      </x:c>
      <x:c r="J158" s="4" t="str">
        <x:v>AvgAcc + Non-Linear Score</x:v>
      </x:c>
      <x:c r="K158" s="4" t="n">
        <x:v>95</x:v>
      </x:c>
      <x:c r="L158" s="4" t="str">
        <x:v>W01</x:v>
      </x:c>
      <x:c r="M158" s="4" t="str">
        <x:v>unresolved</x:v>
      </x:c>
      <x:c r="N158" s="4" t="str">
        <x:v>unresolved</x:v>
      </x:c>
      <x:c r="O158" s="4" t="str">
        <x:v>unresolved</x:v>
      </x:c>
      <x:c r="P158" s="4" t="str">
        <x:v>unresolved</x:v>
      </x:c>
      <x:c r="Q158" s="4" t="str">
        <x:v>unresolved</x:v>
      </x:c>
      <x:c r="R158" s="4" t="str">
        <x:v>G43</x:v>
      </x:c>
      <x:c r="S158" s="4" t="str">
        <x:v>P04</x:v>
      </x:c>
      <x:c r="T158" s="4" t="n">
        <x:v>1</x:v>
      </x:c>
      <x:c r="U158" s="4" t="str">
        <x:v>唯一P候选</x:v>
      </x:c>
      <x:c r="V158" s="4" t="str">
        <x:v>P04</x:v>
      </x:c>
      <x:c r="W158" s="4" t="str">
        <x:v>B2</x:v>
      </x:c>
      <x:c r="X158" s="4" t="str">
        <x:v>—</x:v>
      </x:c>
      <x:c r="Y158" s="4" t="str">
        <x:v>R9</x:v>
      </x:c>
      <x:c r="Z158" s="4" t="str">
        <x:v>R1 | R9</x:v>
      </x:c>
      <x:c r="AA158" s="4" t="str">
        <x:v>原条件原样继承，未独立验证split/样本量/预算有效性；执行先检查可用模态、query_time和官方评分协议</x:v>
      </x:c>
      <x:c r="AB158" s="4" t="str">
        <x:v>追逐后朝向相对初始方向需统一参考系并更新方向状态；屏幕中直接左右可R1。</x:v>
      </x:c>
    </x:row>
    <x:row r="159" ht="52" customHeight="1">
      <x:c r="A159" s="4" t="str">
        <x:v>src.video_mme_v2.symbolic_metaphorical_interpretation.c01</x:v>
      </x:c>
      <x:c r="B159" s="4" t="str">
        <x:v>src.video_mme_v2.symbolic_metaphorical_interpretation</x:v>
      </x:c>
      <x:c r="C159" s="4" t="str">
        <x:v>Video-MME-v2</x:v>
      </x:c>
      <x:c r="D159" s="4" t="str">
        <x:v>Symbolic/Metaphorical Interpretation</x:v>
      </x:c>
      <x:c r="E159" s="4" t="str">
        <x:v>—</x:v>
      </x:c>
      <x:c r="F159" s="4" t="str">
        <x:v>test/video_only</x:v>
      </x:c>
      <x:c r="G159" s="4" t="str">
        <x:v>video_only</x:v>
      </x:c>
      <x:c r="H159" s="4" t="str">
        <x:v>成组K选1</x:v>
      </x:c>
      <x:c r="I159" s="4" t="str">
        <x:v>8</x:v>
      </x:c>
      <x:c r="J159" s="4" t="str">
        <x:v>AvgAcc + Non-Linear Score</x:v>
      </x:c>
      <x:c r="K159" s="4" t="n">
        <x:v>67</x:v>
      </x:c>
      <x:c r="L159" s="4" t="str">
        <x:v>W01</x:v>
      </x:c>
      <x:c r="M159" s="4" t="str">
        <x:v>unresolved</x:v>
      </x:c>
      <x:c r="N159" s="4" t="str">
        <x:v>unresolved</x:v>
      </x:c>
      <x:c r="O159" s="4" t="str">
        <x:v>unresolved</x:v>
      </x:c>
      <x:c r="P159" s="4" t="str">
        <x:v>unresolved</x:v>
      </x:c>
      <x:c r="Q159" s="4" t="str">
        <x:v>unresolved</x:v>
      </x:c>
      <x:c r="R159" s="4" t="str">
        <x:v>G16 | G17</x:v>
      </x:c>
      <x:c r="S159" s="4" t="str">
        <x:v>P10 | P11</x:v>
      </x:c>
      <x:c r="T159" s="4" t="n">
        <x:v>2</x:v>
      </x:c>
      <x:c r="U159" s="4" t="str">
        <x:v>待P样本拆分</x:v>
      </x:c>
      <x:c r="V159" s="4" t="str">
        <x:v>unresolved</x:v>
      </x:c>
      <x:c r="W159" s="4" t="str">
        <x:v>B1</x:v>
      </x:c>
      <x:c r="X159" s="4" t="str">
        <x:v>—</x:v>
      </x:c>
      <x:c r="Y159" s="4" t="str">
        <x:v>R6</x:v>
      </x:c>
      <x:c r="Z159" s="4" t="str">
        <x:v>R5 | R6</x:v>
      </x:c>
      <x:c r="AA159" s="4" t="str">
        <x:v>原条件原样继承，未独立验证split/样本量/预算有效性；执行先检查可用模态、query_time和官方评分协议</x:v>
      </x:c>
      <x:c r="AB159" s="4" t="str">
        <x:v>短片表达的隐喻/寓意需要事实与抽象含义的关系推断；仅复述剧情/体裁走R5。</x:v>
      </x:c>
    </x:row>
    <x:row r="160" ht="52" customHeight="1">
      <x:c r="A160" s="4" t="str">
        <x:v>src.video_mme_v2.symbolic_metaphorical_interpretation.c02</x:v>
      </x:c>
      <x:c r="B160" s="4" t="str">
        <x:v>src.video_mme_v2.symbolic_metaphorical_interpretation</x:v>
      </x:c>
      <x:c r="C160" s="4" t="str">
        <x:v>Video-MME-v2</x:v>
      </x:c>
      <x:c r="D160" s="4" t="str">
        <x:v>Symbolic/Metaphorical Interpretation</x:v>
      </x:c>
      <x:c r="E160" s="4" t="str">
        <x:v>—</x:v>
      </x:c>
      <x:c r="F160" s="4" t="str">
        <x:v>test/with_subtitle_audio</x:v>
      </x:c>
      <x:c r="G160" s="4" t="str">
        <x:v>video+subtitle/audio</x:v>
      </x:c>
      <x:c r="H160" s="4" t="str">
        <x:v>成组K选1</x:v>
      </x:c>
      <x:c r="I160" s="4" t="str">
        <x:v>8</x:v>
      </x:c>
      <x:c r="J160" s="4" t="str">
        <x:v>AvgAcc + Non-Linear Score</x:v>
      </x:c>
      <x:c r="K160" s="4" t="n">
        <x:v>67</x:v>
      </x:c>
      <x:c r="L160" s="4" t="str">
        <x:v>W01</x:v>
      </x:c>
      <x:c r="M160" s="4" t="str">
        <x:v>unresolved</x:v>
      </x:c>
      <x:c r="N160" s="4" t="str">
        <x:v>unresolved</x:v>
      </x:c>
      <x:c r="O160" s="4" t="str">
        <x:v>unresolved</x:v>
      </x:c>
      <x:c r="P160" s="4" t="str">
        <x:v>unresolved</x:v>
      </x:c>
      <x:c r="Q160" s="4" t="str">
        <x:v>unresolved</x:v>
      </x:c>
      <x:c r="R160" s="4" t="str">
        <x:v>G16 | G17</x:v>
      </x:c>
      <x:c r="S160" s="4" t="str">
        <x:v>P10 | P11</x:v>
      </x:c>
      <x:c r="T160" s="4" t="n">
        <x:v>2</x:v>
      </x:c>
      <x:c r="U160" s="4" t="str">
        <x:v>待P样本拆分</x:v>
      </x:c>
      <x:c r="V160" s="4" t="str">
        <x:v>unresolved</x:v>
      </x:c>
      <x:c r="W160" s="4" t="str">
        <x:v>B2</x:v>
      </x:c>
      <x:c r="X160" s="4" t="str">
        <x:v>—</x:v>
      </x:c>
      <x:c r="Y160" s="4" t="str">
        <x:v>R6</x:v>
      </x:c>
      <x:c r="Z160" s="4" t="str">
        <x:v>R5 | R6</x:v>
      </x:c>
      <x:c r="AA160" s="4" t="str">
        <x:v>原条件原样继承，未独立验证split/样本量/预算有效性；执行先检查可用模态、query_time和官方评分协议</x:v>
      </x:c>
      <x:c r="AB160" s="4" t="str">
        <x:v>短片表达的隐喻/寓意需要事实与抽象含义的关系推断；仅复述剧情/体裁走R5。</x:v>
      </x:c>
    </x:row>
    <x:row r="161" ht="52" customHeight="1">
      <x:c r="A161" s="4" t="str">
        <x:v>src.video_mme_v2.temporal_action_localization.c01</x:v>
      </x:c>
      <x:c r="B161" s="4" t="str">
        <x:v>src.video_mme_v2.temporal_action_localization</x:v>
      </x:c>
      <x:c r="C161" s="4" t="str">
        <x:v>Video-MME-v2</x:v>
      </x:c>
      <x:c r="D161" s="4" t="str">
        <x:v>Temporal Action Localization</x:v>
      </x:c>
      <x:c r="E161" s="4" t="str">
        <x:v>—</x:v>
      </x:c>
      <x:c r="F161" s="4" t="str">
        <x:v>test/video_only</x:v>
      </x:c>
      <x:c r="G161" s="4" t="str">
        <x:v>video_only</x:v>
      </x:c>
      <x:c r="H161" s="4" t="str">
        <x:v>成组K选1</x:v>
      </x:c>
      <x:c r="I161" s="4" t="str">
        <x:v>7/8</x:v>
      </x:c>
      <x:c r="J161" s="4" t="str">
        <x:v>AvgAcc + Non-Linear Score</x:v>
      </x:c>
      <x:c r="K161" s="4" t="n">
        <x:v>42</x:v>
      </x:c>
      <x:c r="L161" s="4" t="str">
        <x:v>W01</x:v>
      </x:c>
      <x:c r="M161" s="4" t="str">
        <x:v>unresolved</x:v>
      </x:c>
      <x:c r="N161" s="4" t="str">
        <x:v>unresolved</x:v>
      </x:c>
      <x:c r="O161" s="4" t="str">
        <x:v>unresolved</x:v>
      </x:c>
      <x:c r="P161" s="4" t="str">
        <x:v>unresolved</x:v>
      </x:c>
      <x:c r="Q161" s="4" t="str">
        <x:v>unresolved</x:v>
      </x:c>
      <x:c r="R161" s="4" t="str">
        <x:v>G10</x:v>
      </x:c>
      <x:c r="S161" s="4" t="str">
        <x:v>P06</x:v>
      </x:c>
      <x:c r="T161" s="4" t="n">
        <x:v>1</x:v>
      </x:c>
      <x:c r="U161" s="4" t="str">
        <x:v>唯一P候选</x:v>
      </x:c>
      <x:c r="V161" s="4" t="str">
        <x:v>P06</x:v>
      </x:c>
      <x:c r="W161" s="4" t="str">
        <x:v>B1</x:v>
      </x:c>
      <x:c r="X161" s="4" t="str">
        <x:v>—</x:v>
      </x:c>
      <x:c r="Y161" s="4" t="str">
        <x:v>R3</x:v>
      </x:c>
      <x:c r="Z161" s="4" t="str">
        <x:v>R3</x:v>
      </x:c>
      <x:c r="AA161" s="4" t="str">
        <x:v>原条件原样继承，未独立验证split/样本量/预算有效性；执行先检查可用模态、query_time和官方评分协议</x:v>
      </x:c>
      <x:c r="AB161" s="4" t="str">
        <x:v>拉上窗帘后第一件事需要锚点之后的有序事件与排除中间遗漏，不只是任意找到一个相关片段。</x:v>
      </x:c>
    </x:row>
    <x:row r="162" ht="52" customHeight="1">
      <x:c r="A162" s="4" t="str">
        <x:v>src.video_mme_v2.temporal_action_localization.c02</x:v>
      </x:c>
      <x:c r="B162" s="4" t="str">
        <x:v>src.video_mme_v2.temporal_action_localization</x:v>
      </x:c>
      <x:c r="C162" s="4" t="str">
        <x:v>Video-MME-v2</x:v>
      </x:c>
      <x:c r="D162" s="4" t="str">
        <x:v>Temporal Action Localization</x:v>
      </x:c>
      <x:c r="E162" s="4" t="str">
        <x:v>—</x:v>
      </x:c>
      <x:c r="F162" s="4" t="str">
        <x:v>test/with_subtitle_audio</x:v>
      </x:c>
      <x:c r="G162" s="4" t="str">
        <x:v>video+subtitle/audio</x:v>
      </x:c>
      <x:c r="H162" s="4" t="str">
        <x:v>成组K选1</x:v>
      </x:c>
      <x:c r="I162" s="4" t="str">
        <x:v>7/8</x:v>
      </x:c>
      <x:c r="J162" s="4" t="str">
        <x:v>AvgAcc + Non-Linear Score</x:v>
      </x:c>
      <x:c r="K162" s="4" t="n">
        <x:v>42</x:v>
      </x:c>
      <x:c r="L162" s="4" t="str">
        <x:v>W01</x:v>
      </x:c>
      <x:c r="M162" s="4" t="str">
        <x:v>unresolved</x:v>
      </x:c>
      <x:c r="N162" s="4" t="str">
        <x:v>unresolved</x:v>
      </x:c>
      <x:c r="O162" s="4" t="str">
        <x:v>unresolved</x:v>
      </x:c>
      <x:c r="P162" s="4" t="str">
        <x:v>unresolved</x:v>
      </x:c>
      <x:c r="Q162" s="4" t="str">
        <x:v>unresolved</x:v>
      </x:c>
      <x:c r="R162" s="4" t="str">
        <x:v>G10</x:v>
      </x:c>
      <x:c r="S162" s="4" t="str">
        <x:v>P06</x:v>
      </x:c>
      <x:c r="T162" s="4" t="n">
        <x:v>1</x:v>
      </x:c>
      <x:c r="U162" s="4" t="str">
        <x:v>唯一P候选</x:v>
      </x:c>
      <x:c r="V162" s="4" t="str">
        <x:v>P06</x:v>
      </x:c>
      <x:c r="W162" s="4" t="str">
        <x:v>B2</x:v>
      </x:c>
      <x:c r="X162" s="4" t="str">
        <x:v>—</x:v>
      </x:c>
      <x:c r="Y162" s="4" t="str">
        <x:v>R3</x:v>
      </x:c>
      <x:c r="Z162" s="4" t="str">
        <x:v>R3</x:v>
      </x:c>
      <x:c r="AA162" s="4" t="str">
        <x:v>原条件原样继承，未独立验证split/样本量/预算有效性；执行先检查可用模态、query_time和官方评分协议</x:v>
      </x:c>
      <x:c r="AB162" s="4" t="str">
        <x:v>拉上窗帘后第一件事需要锚点之后的有序事件与排除中间遗漏，不只是任意找到一个相关片段。</x:v>
      </x:c>
    </x:row>
    <x:row r="163" ht="52" customHeight="1">
      <x:c r="A163" s="4" t="str">
        <x:v>src.video_mme_v2.temporal_periodicity_detection.c01</x:v>
      </x:c>
      <x:c r="B163" s="4" t="str">
        <x:v>src.video_mme_v2.temporal_periodicity_detection</x:v>
      </x:c>
      <x:c r="C163" s="4" t="str">
        <x:v>Video-MME-v2</x:v>
      </x:c>
      <x:c r="D163" s="4" t="str">
        <x:v>Temporal Periodicity Detection</x:v>
      </x:c>
      <x:c r="E163" s="4" t="str">
        <x:v>—</x:v>
      </x:c>
      <x:c r="F163" s="4" t="str">
        <x:v>test/video_only</x:v>
      </x:c>
      <x:c r="G163" s="4" t="str">
        <x:v>video_only</x:v>
      </x:c>
      <x:c r="H163" s="4" t="str">
        <x:v>成组K选1</x:v>
      </x:c>
      <x:c r="I163" s="4" t="str">
        <x:v>2/8</x:v>
      </x:c>
      <x:c r="J163" s="4" t="str">
        <x:v>AvgAcc + Non-Linear Score</x:v>
      </x:c>
      <x:c r="K163" s="4" t="n">
        <x:v>68</x:v>
      </x:c>
      <x:c r="L163" s="4" t="str">
        <x:v>W01</x:v>
      </x:c>
      <x:c r="M163" s="4" t="str">
        <x:v>unresolved</x:v>
      </x:c>
      <x:c r="N163" s="4" t="str">
        <x:v>unresolved</x:v>
      </x:c>
      <x:c r="O163" s="4" t="str">
        <x:v>unresolved</x:v>
      </x:c>
      <x:c r="P163" s="4" t="str">
        <x:v>unresolved</x:v>
      </x:c>
      <x:c r="Q163" s="4" t="str">
        <x:v>unresolved</x:v>
      </x:c>
      <x:c r="R163" s="4" t="str">
        <x:v>G26</x:v>
      </x:c>
      <x:c r="S163" s="4" t="str">
        <x:v>P03</x:v>
      </x:c>
      <x:c r="T163" s="4" t="n">
        <x:v>1</x:v>
      </x:c>
      <x:c r="U163" s="4" t="str">
        <x:v>唯一P候选</x:v>
      </x:c>
      <x:c r="V163" s="4" t="str">
        <x:v>P03</x:v>
      </x:c>
      <x:c r="W163" s="4" t="str">
        <x:v>B1</x:v>
      </x:c>
      <x:c r="X163" s="4" t="str">
        <x:v>—</x:v>
      </x:c>
      <x:c r="Y163" s="4" t="str">
        <x:v>R2</x:v>
      </x:c>
      <x:c r="Z163" s="4" t="str">
        <x:v>R2 | R7</x:v>
      </x:c>
      <x:c r="AA163" s="4" t="str">
        <x:v>原条件原样继承，未独立验证split/样本量/预算有效性；执行先检查可用模态、query_time和官方评分协议</x:v>
      </x:c>
      <x:c r="AB163" s="4" t="str">
        <x:v>周期动作中的下一相位可由已观察轨迹延续，主R2；开放式未来行为预测才R7。不能见到next一词就归预测。</x:v>
      </x:c>
    </x:row>
    <x:row r="164" ht="52" customHeight="1">
      <x:c r="A164" s="4" t="str">
        <x:v>src.video_mme_v2.temporal_periodicity_detection.c02</x:v>
      </x:c>
      <x:c r="B164" s="4" t="str">
        <x:v>src.video_mme_v2.temporal_periodicity_detection</x:v>
      </x:c>
      <x:c r="C164" s="4" t="str">
        <x:v>Video-MME-v2</x:v>
      </x:c>
      <x:c r="D164" s="4" t="str">
        <x:v>Temporal Periodicity Detection</x:v>
      </x:c>
      <x:c r="E164" s="4" t="str">
        <x:v>—</x:v>
      </x:c>
      <x:c r="F164" s="4" t="str">
        <x:v>test/with_subtitle_audio</x:v>
      </x:c>
      <x:c r="G164" s="4" t="str">
        <x:v>video+subtitle/audio</x:v>
      </x:c>
      <x:c r="H164" s="4" t="str">
        <x:v>成组K选1</x:v>
      </x:c>
      <x:c r="I164" s="4" t="str">
        <x:v>2/8</x:v>
      </x:c>
      <x:c r="J164" s="4" t="str">
        <x:v>AvgAcc + Non-Linear Score</x:v>
      </x:c>
      <x:c r="K164" s="4" t="n">
        <x:v>68</x:v>
      </x:c>
      <x:c r="L164" s="4" t="str">
        <x:v>W01</x:v>
      </x:c>
      <x:c r="M164" s="4" t="str">
        <x:v>unresolved</x:v>
      </x:c>
      <x:c r="N164" s="4" t="str">
        <x:v>unresolved</x:v>
      </x:c>
      <x:c r="O164" s="4" t="str">
        <x:v>unresolved</x:v>
      </x:c>
      <x:c r="P164" s="4" t="str">
        <x:v>unresolved</x:v>
      </x:c>
      <x:c r="Q164" s="4" t="str">
        <x:v>unresolved</x:v>
      </x:c>
      <x:c r="R164" s="4" t="str">
        <x:v>G26</x:v>
      </x:c>
      <x:c r="S164" s="4" t="str">
        <x:v>P03</x:v>
      </x:c>
      <x:c r="T164" s="4" t="n">
        <x:v>1</x:v>
      </x:c>
      <x:c r="U164" s="4" t="str">
        <x:v>唯一P候选</x:v>
      </x:c>
      <x:c r="V164" s="4" t="str">
        <x:v>P03</x:v>
      </x:c>
      <x:c r="W164" s="4" t="str">
        <x:v>B2</x:v>
      </x:c>
      <x:c r="X164" s="4" t="str">
        <x:v>—</x:v>
      </x:c>
      <x:c r="Y164" s="4" t="str">
        <x:v>R2</x:v>
      </x:c>
      <x:c r="Z164" s="4" t="str">
        <x:v>R2 | R7</x:v>
      </x:c>
      <x:c r="AA164" s="4" t="str">
        <x:v>原条件原样继承，未独立验证split/样本量/预算有效性；执行先检查可用模态、query_time和官方评分协议</x:v>
      </x:c>
      <x:c r="AB164" s="4" t="str">
        <x:v>周期动作中的下一相位可由已观察轨迹延续，主R2；开放式未来行为预测才R7。不能见到next一词就归预测。</x:v>
      </x:c>
    </x:row>
    <x:row r="165" ht="52" customHeight="1">
      <x:c r="A165" s="4" t="str">
        <x:v>src.video_mme_v2.vision_guided_audio_description.c01</x:v>
      </x:c>
      <x:c r="B165" s="4" t="str">
        <x:v>src.video_mme_v2.vision_guided_audio_description</x:v>
      </x:c>
      <x:c r="C165" s="4" t="str">
        <x:v>Video-MME-v2</x:v>
      </x:c>
      <x:c r="D165" s="4" t="str">
        <x:v>Vision-Guided Audio Description</x:v>
      </x:c>
      <x:c r="E165" s="4" t="str">
        <x:v>—</x:v>
      </x:c>
      <x:c r="F165" s="4" t="str">
        <x:v>test/video_only</x:v>
      </x:c>
      <x:c r="G165" s="4" t="str">
        <x:v>video_only</x:v>
      </x:c>
      <x:c r="H165" s="4" t="str">
        <x:v>成组K选1</x:v>
      </x:c>
      <x:c r="I165" s="4" t="str">
        <x:v>3/8</x:v>
      </x:c>
      <x:c r="J165" s="4" t="str">
        <x:v>AvgAcc + Non-Linear Score</x:v>
      </x:c>
      <x:c r="K165" s="4" t="n">
        <x:v>135</x:v>
      </x:c>
      <x:c r="L165" s="4" t="str">
        <x:v>W01</x:v>
      </x:c>
      <x:c r="M165" s="4" t="str">
        <x:v>unresolved</x:v>
      </x:c>
      <x:c r="N165" s="4" t="str">
        <x:v>unresolved</x:v>
      </x:c>
      <x:c r="O165" s="4" t="str">
        <x:v>unresolved</x:v>
      </x:c>
      <x:c r="P165" s="4" t="str">
        <x:v>unresolved</x:v>
      </x:c>
      <x:c r="Q165" s="4" t="str">
        <x:v>unresolved</x:v>
      </x:c>
      <x:c r="R165" s="4" t="str">
        <x:v>G08</x:v>
      </x:c>
      <x:c r="S165" s="4" t="str">
        <x:v>P01</x:v>
      </x:c>
      <x:c r="T165" s="4" t="n">
        <x:v>1</x:v>
      </x:c>
      <x:c r="U165" s="4" t="str">
        <x:v>唯一P候选</x:v>
      </x:c>
      <x:c r="V165" s="4" t="str">
        <x:v>P01</x:v>
      </x:c>
      <x:c r="W165" s="4" t="str">
        <x:v>B1</x:v>
      </x:c>
      <x:c r="X165" s="4" t="str">
        <x:v>—</x:v>
      </x:c>
      <x:c r="Y165" s="4" t="str">
        <x:v>R1</x:v>
      </x:c>
      <x:c r="Z165" s="4" t="str">
        <x:v>R1</x:v>
      </x:c>
      <x:c r="AA165" s="4" t="str">
        <x:v>原条件原样继承，未独立验证split/样本量/预算有效性；执行先检查可用模态、query_time和官方评分协议</x:v>
      </x:c>
      <x:c r="AB165" s="4" t="str">
        <x:v>先按人物/街景定位，再读取同一时段说了什么；是局部跨模态事实，不必独立音画融合主pipeline。</x:v>
      </x:c>
    </x:row>
    <x:row r="166" ht="52" customHeight="1">
      <x:c r="A166" s="4" t="str">
        <x:v>src.video_mme_v2.vision_guided_audio_description.c02</x:v>
      </x:c>
      <x:c r="B166" s="4" t="str">
        <x:v>src.video_mme_v2.vision_guided_audio_description</x:v>
      </x:c>
      <x:c r="C166" s="4" t="str">
        <x:v>Video-MME-v2</x:v>
      </x:c>
      <x:c r="D166" s="4" t="str">
        <x:v>Vision-Guided Audio Description</x:v>
      </x:c>
      <x:c r="E166" s="4" t="str">
        <x:v>—</x:v>
      </x:c>
      <x:c r="F166" s="4" t="str">
        <x:v>test/with_subtitle_audio</x:v>
      </x:c>
      <x:c r="G166" s="4" t="str">
        <x:v>video+subtitle/audio</x:v>
      </x:c>
      <x:c r="H166" s="4" t="str">
        <x:v>成组K选1</x:v>
      </x:c>
      <x:c r="I166" s="4" t="str">
        <x:v>3/8</x:v>
      </x:c>
      <x:c r="J166" s="4" t="str">
        <x:v>AvgAcc + Non-Linear Score</x:v>
      </x:c>
      <x:c r="K166" s="4" t="n">
        <x:v>135</x:v>
      </x:c>
      <x:c r="L166" s="4" t="str">
        <x:v>W01</x:v>
      </x:c>
      <x:c r="M166" s="4" t="str">
        <x:v>unresolved</x:v>
      </x:c>
      <x:c r="N166" s="4" t="str">
        <x:v>unresolved</x:v>
      </x:c>
      <x:c r="O166" s="4" t="str">
        <x:v>unresolved</x:v>
      </x:c>
      <x:c r="P166" s="4" t="str">
        <x:v>unresolved</x:v>
      </x:c>
      <x:c r="Q166" s="4" t="str">
        <x:v>unresolved</x:v>
      </x:c>
      <x:c r="R166" s="4" t="str">
        <x:v>G08</x:v>
      </x:c>
      <x:c r="S166" s="4" t="str">
        <x:v>P01</x:v>
      </x:c>
      <x:c r="T166" s="4" t="n">
        <x:v>1</x:v>
      </x:c>
      <x:c r="U166" s="4" t="str">
        <x:v>唯一P候选</x:v>
      </x:c>
      <x:c r="V166" s="4" t="str">
        <x:v>P01</x:v>
      </x:c>
      <x:c r="W166" s="4" t="str">
        <x:v>B2</x:v>
      </x:c>
      <x:c r="X166" s="4" t="str">
        <x:v>—</x:v>
      </x:c>
      <x:c r="Y166" s="4" t="str">
        <x:v>R1</x:v>
      </x:c>
      <x:c r="Z166" s="4" t="str">
        <x:v>R1</x:v>
      </x:c>
      <x:c r="AA166" s="4" t="str">
        <x:v>原条件原样继承，未独立验证split/样本量/预算有效性；执行先检查可用模态、query_time和官方评分协议</x:v>
      </x:c>
      <x:c r="AB166" s="4" t="str">
        <x:v>先按人物/街景定位，再读取同一时段说了什么；是局部跨模态事实，不必独立音画融合主pipeline。</x:v>
      </x:c>
    </x:row>
    <x:row r="167" ht="52" customHeight="1">
      <x:c r="A167" s="4" t="str">
        <x:v>src.video_mme_v2.visual_recognition.c01</x:v>
      </x:c>
      <x:c r="B167" s="4" t="str">
        <x:v>src.video_mme_v2.visual_recognition</x:v>
      </x:c>
      <x:c r="C167" s="4" t="str">
        <x:v>Video-MME-v2</x:v>
      </x:c>
      <x:c r="D167" s="4" t="str">
        <x:v>Visual Recognition</x:v>
      </x:c>
      <x:c r="E167" s="4" t="str">
        <x:v>—</x:v>
      </x:c>
      <x:c r="F167" s="4" t="str">
        <x:v>test/video_only</x:v>
      </x:c>
      <x:c r="G167" s="4" t="str">
        <x:v>video_only</x:v>
      </x:c>
      <x:c r="H167" s="4" t="str">
        <x:v>成组K选1</x:v>
      </x:c>
      <x:c r="I167" s="4" t="str">
        <x:v>2/3/4/5/6/7/8</x:v>
      </x:c>
      <x:c r="J167" s="4" t="str">
        <x:v>AvgAcc + Non-Linear Score</x:v>
      </x:c>
      <x:c r="K167" s="4" t="n">
        <x:v>323</x:v>
      </x:c>
      <x:c r="L167" s="4" t="str">
        <x:v>W01</x:v>
      </x:c>
      <x:c r="M167" s="4" t="str">
        <x:v>unresolved</x:v>
      </x:c>
      <x:c r="N167" s="4" t="str">
        <x:v>unresolved</x:v>
      </x:c>
      <x:c r="O167" s="4" t="str">
        <x:v>unresolved</x:v>
      </x:c>
      <x:c r="P167" s="4" t="str">
        <x:v>unresolved</x:v>
      </x:c>
      <x:c r="Q167" s="4" t="str">
        <x:v>unresolved</x:v>
      </x:c>
      <x:c r="R167" s="4" t="str">
        <x:v>G01</x:v>
      </x:c>
      <x:c r="S167" s="4" t="str">
        <x:v>P01</x:v>
      </x:c>
      <x:c r="T167" s="4" t="n">
        <x:v>1</x:v>
      </x:c>
      <x:c r="U167" s="4" t="str">
        <x:v>唯一P候选</x:v>
      </x:c>
      <x:c r="V167" s="4" t="str">
        <x:v>P01</x:v>
      </x:c>
      <x:c r="W167" s="4" t="str">
        <x:v>B1</x:v>
      </x:c>
      <x:c r="X167" s="4" t="str">
        <x:v>—</x:v>
      </x:c>
      <x:c r="Y167" s="4" t="str">
        <x:v>R1</x:v>
      </x:c>
      <x:c r="Z167" s="4" t="str">
        <x:v>R1 | R2 | R4</x:v>
      </x:c>
      <x:c r="AA167" s="4" t="str">
        <x:v>原条件原样继承，未独立验证split/样本量/预算有效性；执行先检查可用模态、query_time和官方评分协议</x:v>
      </x:c>
      <x:c r="AB167" s="4" t="str">
        <x:v>球是否在壳下，若揭示后直接可见走R1；若全程遮挡须追踪R2；全片不存在性需要覆盖清单R4。不能仅从题面保证直接可见。</x:v>
      </x:c>
    </x:row>
    <x:row r="168" ht="52" customHeight="1">
      <x:c r="A168" s="4" t="str">
        <x:v>src.video_mme_v2.visual_recognition.c02</x:v>
      </x:c>
      <x:c r="B168" s="4" t="str">
        <x:v>src.video_mme_v2.visual_recognition</x:v>
      </x:c>
      <x:c r="C168" s="4" t="str">
        <x:v>Video-MME-v2</x:v>
      </x:c>
      <x:c r="D168" s="4" t="str">
        <x:v>Visual Recognition</x:v>
      </x:c>
      <x:c r="E168" s="4" t="str">
        <x:v>—</x:v>
      </x:c>
      <x:c r="F168" s="4" t="str">
        <x:v>test/with_subtitle_audio</x:v>
      </x:c>
      <x:c r="G168" s="4" t="str">
        <x:v>video+subtitle/audio</x:v>
      </x:c>
      <x:c r="H168" s="4" t="str">
        <x:v>成组K选1</x:v>
      </x:c>
      <x:c r="I168" s="4" t="str">
        <x:v>2/3/4/5/6/7/8</x:v>
      </x:c>
      <x:c r="J168" s="4" t="str">
        <x:v>AvgAcc + Non-Linear Score</x:v>
      </x:c>
      <x:c r="K168" s="4" t="n">
        <x:v>323</x:v>
      </x:c>
      <x:c r="L168" s="4" t="str">
        <x:v>W01</x:v>
      </x:c>
      <x:c r="M168" s="4" t="str">
        <x:v>unresolved</x:v>
      </x:c>
      <x:c r="N168" s="4" t="str">
        <x:v>unresolved</x:v>
      </x:c>
      <x:c r="O168" s="4" t="str">
        <x:v>unresolved</x:v>
      </x:c>
      <x:c r="P168" s="4" t="str">
        <x:v>unresolved</x:v>
      </x:c>
      <x:c r="Q168" s="4" t="str">
        <x:v>unresolved</x:v>
      </x:c>
      <x:c r="R168" s="4" t="str">
        <x:v>G01</x:v>
      </x:c>
      <x:c r="S168" s="4" t="str">
        <x:v>P01</x:v>
      </x:c>
      <x:c r="T168" s="4" t="n">
        <x:v>1</x:v>
      </x:c>
      <x:c r="U168" s="4" t="str">
        <x:v>唯一P候选</x:v>
      </x:c>
      <x:c r="V168" s="4" t="str">
        <x:v>P01</x:v>
      </x:c>
      <x:c r="W168" s="4" t="str">
        <x:v>B2</x:v>
      </x:c>
      <x:c r="X168" s="4" t="str">
        <x:v>—</x:v>
      </x:c>
      <x:c r="Y168" s="4" t="str">
        <x:v>R1</x:v>
      </x:c>
      <x:c r="Z168" s="4" t="str">
        <x:v>R1 | R2 | R4</x:v>
      </x:c>
      <x:c r="AA168" s="4" t="str">
        <x:v>原条件原样继承，未独立验证split/样本量/预算有效性；执行先检查可用模态、query_time和官方评分协议</x:v>
      </x:c>
      <x:c r="AB168" s="4" t="str">
        <x:v>球是否在壳下，若揭示后直接可见走R1；若全程遮挡须追踪R2；全片不存在性需要覆盖清单R4。不能仅从题面保证直接可见。</x:v>
      </x:c>
    </x:row>
    <x:row r="169" ht="52" customHeight="1">
      <x:c r="A169" s="4" t="str">
        <x:v>src.video_mme_v2.visual_audio_collaborative_reasoning.c01</x:v>
      </x:c>
      <x:c r="B169" s="4" t="str">
        <x:v>src.video_mme_v2.visual_audio_collaborative_reasoning</x:v>
      </x:c>
      <x:c r="C169" s="4" t="str">
        <x:v>Video-MME-v2</x:v>
      </x:c>
      <x:c r="D169" s="4" t="str">
        <x:v>Visual-Audio Collaborative Reasoning</x:v>
      </x:c>
      <x:c r="E169" s="4" t="str">
        <x:v>—</x:v>
      </x:c>
      <x:c r="F169" s="4" t="str">
        <x:v>test/video_only</x:v>
      </x:c>
      <x:c r="G169" s="4" t="str">
        <x:v>video_only</x:v>
      </x:c>
      <x:c r="H169" s="4" t="str">
        <x:v>成组K选1</x:v>
      </x:c>
      <x:c r="I169" s="4" t="str">
        <x:v>2/3/7/8</x:v>
      </x:c>
      <x:c r="J169" s="4" t="str">
        <x:v>AvgAcc + Non-Linear Score</x:v>
      </x:c>
      <x:c r="K169" s="4" t="n">
        <x:v>138</x:v>
      </x:c>
      <x:c r="L169" s="4" t="str">
        <x:v>W01</x:v>
      </x:c>
      <x:c r="M169" s="4" t="str">
        <x:v>unresolved</x:v>
      </x:c>
      <x:c r="N169" s="4" t="str">
        <x:v>unresolved</x:v>
      </x:c>
      <x:c r="O169" s="4" t="str">
        <x:v>unresolved</x:v>
      </x:c>
      <x:c r="P169" s="4" t="str">
        <x:v>unresolved</x:v>
      </x:c>
      <x:c r="Q169" s="4" t="str">
        <x:v>unresolved</x:v>
      </x:c>
      <x:c r="R169" s="4" t="str">
        <x:v>G09 | G17</x:v>
      </x:c>
      <x:c r="S169" s="4" t="str">
        <x:v>P11 | P13</x:v>
      </x:c>
      <x:c r="T169" s="4" t="n">
        <x:v>2</x:v>
      </x:c>
      <x:c r="U169" s="4" t="str">
        <x:v>待P样本拆分</x:v>
      </x:c>
      <x:c r="V169" s="4" t="str">
        <x:v>unresolved</x:v>
      </x:c>
      <x:c r="W169" s="4" t="str">
        <x:v>B1</x:v>
      </x:c>
      <x:c r="X169" s="4" t="str">
        <x:v>—</x:v>
      </x:c>
      <x:c r="Y169" s="4" t="str">
        <x:v>R6</x:v>
      </x:c>
      <x:c r="Z169" s="4" t="str">
        <x:v>R1 | R6</x:v>
      </x:c>
      <x:c r="AA169" s="4" t="str">
        <x:v>原条件原样继承，未独立验证split/样本量/预算有效性；执行先检查可用模态、query_time和官方评分协议</x:v>
      </x:c>
      <x:c r="AB169" s="4" t="str">
        <x:v>母亲族裔只能依据叙事中明确提供/合理关联的身份事实，不从面貌猜测；直接音画事实绑定可R1，需要多条关系推断R6。</x:v>
      </x:c>
    </x:row>
    <x:row r="170" ht="52" customHeight="1">
      <x:c r="A170" s="4" t="str">
        <x:v>src.video_mme_v2.visual_audio_collaborative_reasoning.c02</x:v>
      </x:c>
      <x:c r="B170" s="4" t="str">
        <x:v>src.video_mme_v2.visual_audio_collaborative_reasoning</x:v>
      </x:c>
      <x:c r="C170" s="4" t="str">
        <x:v>Video-MME-v2</x:v>
      </x:c>
      <x:c r="D170" s="4" t="str">
        <x:v>Visual-Audio Collaborative Reasoning</x:v>
      </x:c>
      <x:c r="E170" s="4" t="str">
        <x:v>—</x:v>
      </x:c>
      <x:c r="F170" s="4" t="str">
        <x:v>test/with_subtitle_audio</x:v>
      </x:c>
      <x:c r="G170" s="4" t="str">
        <x:v>video+subtitle/audio</x:v>
      </x:c>
      <x:c r="H170" s="4" t="str">
        <x:v>成组K选1</x:v>
      </x:c>
      <x:c r="I170" s="4" t="str">
        <x:v>2/3/7/8</x:v>
      </x:c>
      <x:c r="J170" s="4" t="str">
        <x:v>AvgAcc + Non-Linear Score</x:v>
      </x:c>
      <x:c r="K170" s="4" t="n">
        <x:v>138</x:v>
      </x:c>
      <x:c r="L170" s="4" t="str">
        <x:v>W01</x:v>
      </x:c>
      <x:c r="M170" s="4" t="str">
        <x:v>unresolved</x:v>
      </x:c>
      <x:c r="N170" s="4" t="str">
        <x:v>unresolved</x:v>
      </x:c>
      <x:c r="O170" s="4" t="str">
        <x:v>unresolved</x:v>
      </x:c>
      <x:c r="P170" s="4" t="str">
        <x:v>unresolved</x:v>
      </x:c>
      <x:c r="Q170" s="4" t="str">
        <x:v>unresolved</x:v>
      </x:c>
      <x:c r="R170" s="4" t="str">
        <x:v>G09 | G17</x:v>
      </x:c>
      <x:c r="S170" s="4" t="str">
        <x:v>P11 | P13</x:v>
      </x:c>
      <x:c r="T170" s="4" t="n">
        <x:v>2</x:v>
      </x:c>
      <x:c r="U170" s="4" t="str">
        <x:v>待P样本拆分</x:v>
      </x:c>
      <x:c r="V170" s="4" t="str">
        <x:v>unresolved</x:v>
      </x:c>
      <x:c r="W170" s="4" t="str">
        <x:v>B2</x:v>
      </x:c>
      <x:c r="X170" s="4" t="str">
        <x:v>—</x:v>
      </x:c>
      <x:c r="Y170" s="4" t="str">
        <x:v>R6</x:v>
      </x:c>
      <x:c r="Z170" s="4" t="str">
        <x:v>R1 | R6</x:v>
      </x:c>
      <x:c r="AA170" s="4" t="str">
        <x:v>原条件原样继承，未独立验证split/样本量/预算有效性；执行先检查可用模态、query_time和官方评分协议</x:v>
      </x:c>
      <x:c r="AB170" s="4" t="str">
        <x:v>母亲族裔只能依据叙事中明确提供/合理关联的身份事实，不从面貌猜测；直接音画事实绑定可R1，需要多条关系推断R6。</x:v>
      </x:c>
    </x:row>
    <x:row r="171" ht="52" customHeight="1">
      <x:c r="A171" s="4" t="str">
        <x:v>src.vsi_bench.absolute_distance.c01</x:v>
      </x:c>
      <x:c r="B171" s="4" t="str">
        <x:v>src.vsi_bench.absolute_distance</x:v>
      </x:c>
      <x:c r="C171" s="4" t="str">
        <x:v>VSI-Bench</x:v>
      </x:c>
      <x:c r="D171" s="4" t="str">
        <x:v>Absolute Distance</x:v>
      </x:c>
      <x:c r="E171" s="4" t="str">
        <x:v>—</x:v>
      </x:c>
      <x:c r="F171" s="4" t="str">
        <x:v>test</x:v>
      </x:c>
      <x:c r="G171" s="4" t="str">
        <x:v>video_only</x:v>
      </x:c>
      <x:c r="H171" s="4" t="str">
        <x:v>数值输出</x:v>
      </x:c>
      <x:c r="I171" s="4" t="str">
        <x:v>0</x:v>
      </x:c>
      <x:c r="J171" s="4" t="str">
        <x:v>MRA</x:v>
      </x:c>
      <x:c r="K171" s="4" t="n">
        <x:v>834</x:v>
      </x:c>
      <x:c r="L171" s="4" t="str">
        <x:v>无</x:v>
      </x:c>
      <x:c r="M171" s="4" t="str">
        <x:v>unresolved</x:v>
      </x:c>
      <x:c r="N171" s="4" t="str">
        <x:v>unresolved</x:v>
      </x:c>
      <x:c r="O171" s="4" t="str">
        <x:v>unresolved</x:v>
      </x:c>
      <x:c r="P171" s="4" t="str">
        <x:v>unresolved</x:v>
      </x:c>
      <x:c r="Q171" s="4" t="str">
        <x:v>unresolved</x:v>
      </x:c>
      <x:c r="R171" s="4" t="str">
        <x:v>G29</x:v>
      </x:c>
      <x:c r="S171" s="4" t="str">
        <x:v>P18</x:v>
      </x:c>
      <x:c r="T171" s="4" t="n">
        <x:v>1</x:v>
      </x:c>
      <x:c r="U171" s="4" t="str">
        <x:v>唯一P候选</x:v>
      </x:c>
      <x:c r="V171" s="4" t="str">
        <x:v>P18</x:v>
      </x:c>
      <x:c r="W171" s="4" t="str">
        <x:v>B4</x:v>
      </x:c>
      <x:c r="X171" s="4" t="str">
        <x:v>—</x:v>
      </x:c>
      <x:c r="Y171" s="4" t="str">
        <x:v>R9</x:v>
      </x:c>
      <x:c r="Z171" s="4" t="str">
        <x:v>R9</x:v>
      </x:c>
      <x:c r="AA171" s="4" t="str">
        <x:v>原条件原样继承，未独立验证split/样本量/预算有效性；执行先检查可用模态、query_time和官方评分协议</x:v>
      </x:c>
      <x:c r="AB171" s="4" t="str">
        <x:v>估计物体最近点之间的米制距离，需要带尺度的局部场景表示；视频不给精确尺度时保留不确定性，不读取GT深度/网格。</x:v>
      </x:c>
    </x:row>
    <x:row r="172" ht="52" customHeight="1">
      <x:c r="A172" s="4" t="str">
        <x:v>src.vsi_bench.appearance_order.c01</x:v>
      </x:c>
      <x:c r="B172" s="4" t="str">
        <x:v>src.vsi_bench.appearance_order</x:v>
      </x:c>
      <x:c r="C172" s="4" t="str">
        <x:v>VSI-Bench</x:v>
      </x:c>
      <x:c r="D172" s="4" t="str">
        <x:v>Appearance Order</x:v>
      </x:c>
      <x:c r="E172" s="4" t="str">
        <x:v>—</x:v>
      </x:c>
      <x:c r="F172" s="4" t="str">
        <x:v>test</x:v>
      </x:c>
      <x:c r="G172" s="4" t="str">
        <x:v>video_only</x:v>
      </x:c>
      <x:c r="H172" s="4" t="str">
        <x:v>K选1</x:v>
      </x:c>
      <x:c r="I172" s="4" t="str">
        <x:v>4</x:v>
      </x:c>
      <x:c r="J172" s="4" t="str">
        <x:v>Accuracy</x:v>
      </x:c>
      <x:c r="K172" s="4" t="n">
        <x:v>618</x:v>
      </x:c>
      <x:c r="L172" s="4" t="str">
        <x:v>无</x:v>
      </x:c>
      <x:c r="M172" s="4" t="str">
        <x:v>unresolved</x:v>
      </x:c>
      <x:c r="N172" s="4" t="str">
        <x:v>unresolved</x:v>
      </x:c>
      <x:c r="O172" s="4" t="str">
        <x:v>unresolved</x:v>
      </x:c>
      <x:c r="P172" s="4" t="str">
        <x:v>unresolved</x:v>
      </x:c>
      <x:c r="Q172" s="4" t="str">
        <x:v>unresolved</x:v>
      </x:c>
      <x:c r="R172" s="4" t="str">
        <x:v>G11</x:v>
      </x:c>
      <x:c r="S172" s="4" t="str">
        <x:v>P07</x:v>
      </x:c>
      <x:c r="T172" s="4" t="n">
        <x:v>1</x:v>
      </x:c>
      <x:c r="U172" s="4" t="str">
        <x:v>唯一P候选</x:v>
      </x:c>
      <x:c r="V172" s="4" t="str">
        <x:v>P07</x:v>
      </x:c>
      <x:c r="W172" s="4" t="str">
        <x:v>B1</x:v>
      </x:c>
      <x:c r="X172" s="4" t="str">
        <x:v>—</x:v>
      </x:c>
      <x:c r="Y172" s="4" t="str">
        <x:v>R3</x:v>
      </x:c>
      <x:c r="Z172" s="4" t="str">
        <x:v>R3</x:v>
      </x:c>
      <x:c r="AA172" s="4" t="str">
        <x:v>原条件原样继承，未独立验证split/样本量/预算有效性；执行先检查可用模态、query_time和官方评分协议</x:v>
      </x:c>
      <x:c r="AB172" s="4" t="str">
        <x:v>按视频中类别首次出现排序；题干will不表示预测不可见未来，需阅读允许的完整视频范围。</x:v>
      </x:c>
    </x:row>
    <x:row r="173" ht="52" customHeight="1">
      <x:c r="A173" s="4" t="str">
        <x:v>src.vsi_bench.object_count.c01</x:v>
      </x:c>
      <x:c r="B173" s="4" t="str">
        <x:v>src.vsi_bench.object_count</x:v>
      </x:c>
      <x:c r="C173" s="4" t="str">
        <x:v>VSI-Bench</x:v>
      </x:c>
      <x:c r="D173" s="4" t="str">
        <x:v>Object Count</x:v>
      </x:c>
      <x:c r="E173" s="4" t="str">
        <x:v>—</x:v>
      </x:c>
      <x:c r="F173" s="4" t="str">
        <x:v>test</x:v>
      </x:c>
      <x:c r="G173" s="4" t="str">
        <x:v>video_only</x:v>
      </x:c>
      <x:c r="H173" s="4" t="str">
        <x:v>数值输出</x:v>
      </x:c>
      <x:c r="I173" s="4" t="str">
        <x:v>0</x:v>
      </x:c>
      <x:c r="J173" s="4" t="str">
        <x:v>MRA</x:v>
      </x:c>
      <x:c r="K173" s="4" t="n">
        <x:v>565</x:v>
      </x:c>
      <x:c r="L173" s="4" t="str">
        <x:v>无</x:v>
      </x:c>
      <x:c r="M173" s="4" t="str">
        <x:v>unresolved</x:v>
      </x:c>
      <x:c r="N173" s="4" t="str">
        <x:v>unresolved</x:v>
      </x:c>
      <x:c r="O173" s="4" t="str">
        <x:v>unresolved</x:v>
      </x:c>
      <x:c r="P173" s="4" t="str">
        <x:v>unresolved</x:v>
      </x:c>
      <x:c r="Q173" s="4" t="str">
        <x:v>unresolved</x:v>
      </x:c>
      <x:c r="R173" s="4" t="str">
        <x:v>G25</x:v>
      </x:c>
      <x:c r="S173" s="4" t="str">
        <x:v>P16</x:v>
      </x:c>
      <x:c r="T173" s="4" t="n">
        <x:v>1</x:v>
      </x:c>
      <x:c r="U173" s="4" t="str">
        <x:v>唯一P候选</x:v>
      </x:c>
      <x:c r="V173" s="4" t="str">
        <x:v>P16</x:v>
      </x:c>
      <x:c r="W173" s="4" t="str">
        <x:v>B4</x:v>
      </x:c>
      <x:c r="X173" s="4" t="str">
        <x:v>—</x:v>
      </x:c>
      <x:c r="Y173" s="4" t="str">
        <x:v>R4</x:v>
      </x:c>
      <x:c r="Z173" s="4" t="str">
        <x:v>R4</x:v>
      </x:c>
      <x:c r="AA173" s="4" t="str">
        <x:v>原条件原样继承，未独立验证split/样本量/预算有效性；执行先检查可用模态、query_time和官方评分协议</x:v>
      </x:c>
      <x:c r="AB173" s="4" t="str">
        <x:v>房间内桌子总数需多视角实例清单及重识别，不是每帧各数一遍再相加，也不必用完整3D重建。</x:v>
      </x:c>
    </x:row>
    <x:row r="174" ht="52" customHeight="1">
      <x:c r="A174" s="4" t="str">
        <x:v>src.vsi_bench.object_size.c01</x:v>
      </x:c>
      <x:c r="B174" s="4" t="str">
        <x:v>src.vsi_bench.object_size</x:v>
      </x:c>
      <x:c r="C174" s="4" t="str">
        <x:v>VSI-Bench</x:v>
      </x:c>
      <x:c r="D174" s="4" t="str">
        <x:v>Object Size</x:v>
      </x:c>
      <x:c r="E174" s="4" t="str">
        <x:v>—</x:v>
      </x:c>
      <x:c r="F174" s="4" t="str">
        <x:v>test</x:v>
      </x:c>
      <x:c r="G174" s="4" t="str">
        <x:v>video_only</x:v>
      </x:c>
      <x:c r="H174" s="4" t="str">
        <x:v>数值输出</x:v>
      </x:c>
      <x:c r="I174" s="4" t="str">
        <x:v>0</x:v>
      </x:c>
      <x:c r="J174" s="4" t="str">
        <x:v>MRA</x:v>
      </x:c>
      <x:c r="K174" s="4" t="n">
        <x:v>953</x:v>
      </x:c>
      <x:c r="L174" s="4" t="str">
        <x:v>无</x:v>
      </x:c>
      <x:c r="M174" s="4" t="str">
        <x:v>unresolved</x:v>
      </x:c>
      <x:c r="N174" s="4" t="str">
        <x:v>unresolved</x:v>
      </x:c>
      <x:c r="O174" s="4" t="str">
        <x:v>unresolved</x:v>
      </x:c>
      <x:c r="P174" s="4" t="str">
        <x:v>unresolved</x:v>
      </x:c>
      <x:c r="Q174" s="4" t="str">
        <x:v>unresolved</x:v>
      </x:c>
      <x:c r="R174" s="4" t="str">
        <x:v>G29</x:v>
      </x:c>
      <x:c r="S174" s="4" t="str">
        <x:v>P18</x:v>
      </x:c>
      <x:c r="T174" s="4" t="n">
        <x:v>1</x:v>
      </x:c>
      <x:c r="U174" s="4" t="str">
        <x:v>唯一P候选</x:v>
      </x:c>
      <x:c r="V174" s="4" t="str">
        <x:v>P18</x:v>
      </x:c>
      <x:c r="W174" s="4" t="str">
        <x:v>B4</x:v>
      </x:c>
      <x:c r="X174" s="4" t="str">
        <x:v>—</x:v>
      </x:c>
      <x:c r="Y174" s="4" t="str">
        <x:v>R9</x:v>
      </x:c>
      <x:c r="Z174" s="4" t="str">
        <x:v>R9</x:v>
      </x:c>
      <x:c r="AA174" s="4" t="str">
        <x:v>原条件原样继承，未独立验证split/样本量/预算有效性；执行先检查可用模态、query_time和官方评分协议</x:v>
      </x:c>
      <x:c r="AB174" s="4" t="str">
        <x:v>炉灶最长边的厘米数需要尺度估计及可见形状/多视角证据；单目估计并不保证精确。</x:v>
      </x:c>
    </x:row>
    <x:row r="175" ht="52" customHeight="1">
      <x:c r="A175" s="4" t="str">
        <x:v>src.vsi_bench.relative_direction.c01</x:v>
      </x:c>
      <x:c r="B175" s="4" t="str">
        <x:v>src.vsi_bench.relative_direction</x:v>
      </x:c>
      <x:c r="C175" s="4" t="str">
        <x:v>VSI-Bench</x:v>
      </x:c>
      <x:c r="D175" s="4" t="str">
        <x:v>Relative Direction</x:v>
      </x:c>
      <x:c r="E175" s="4" t="str">
        <x:v>—</x:v>
      </x:c>
      <x:c r="F175" s="4" t="str">
        <x:v>test</x:v>
      </x:c>
      <x:c r="G175" s="4" t="str">
        <x:v>video_only</x:v>
      </x:c>
      <x:c r="H175" s="4" t="str">
        <x:v>K选1</x:v>
      </x:c>
      <x:c r="I175" s="4" t="str">
        <x:v>2/3/4</x:v>
      </x:c>
      <x:c r="J175" s="4" t="str">
        <x:v>Accuracy</x:v>
      </x:c>
      <x:c r="K175" s="4" t="n">
        <x:v>968</x:v>
      </x:c>
      <x:c r="L175" s="4" t="str">
        <x:v>无</x:v>
      </x:c>
      <x:c r="M175" s="4" t="str">
        <x:v>unresolved</x:v>
      </x:c>
      <x:c r="N175" s="4" t="str">
        <x:v>unresolved</x:v>
      </x:c>
      <x:c r="O175" s="4" t="str">
        <x:v>unresolved</x:v>
      </x:c>
      <x:c r="P175" s="4" t="str">
        <x:v>unresolved</x:v>
      </x:c>
      <x:c r="Q175" s="4" t="str">
        <x:v>unresolved</x:v>
      </x:c>
      <x:c r="R175" s="4" t="str">
        <x:v>G43</x:v>
      </x:c>
      <x:c r="S175" s="4" t="str">
        <x:v>P04</x:v>
      </x:c>
      <x:c r="T175" s="4" t="n">
        <x:v>1</x:v>
      </x:c>
      <x:c r="U175" s="4" t="str">
        <x:v>唯一P候选</x:v>
      </x:c>
      <x:c r="V175" s="4" t="str">
        <x:v>P04</x:v>
      </x:c>
      <x:c r="W175" s="4" t="str">
        <x:v>B1</x:v>
      </x:c>
      <x:c r="X175" s="4" t="str">
        <x:v>—</x:v>
      </x:c>
      <x:c r="Y175" s="4" t="str">
        <x:v>R9</x:v>
      </x:c>
      <x:c r="Z175" s="4" t="str">
        <x:v>R9</x:v>
      </x:c>
      <x:c r="AA175" s="4" t="str">
        <x:v>原条件原样继承，未独立验证split/样本量/预算有效性；执行先检查可用模态、query_time和官方评分协议</x:v>
      </x:c>
      <x:c r="AB175" s="4" t="str">
        <x:v>站炉灶面向沙发判断电视方位，是物体定义的参考系变换，不要求沿相机轨迹积分；按题目排除边界方向等定义作答。</x:v>
      </x:c>
    </x:row>
    <x:row r="176" ht="52" customHeight="1">
      <x:c r="A176" s="4" t="str">
        <x:v>src.vsi_bench.relative_distance.c01</x:v>
      </x:c>
      <x:c r="B176" s="4" t="str">
        <x:v>src.vsi_bench.relative_distance</x:v>
      </x:c>
      <x:c r="C176" s="4" t="str">
        <x:v>VSI-Bench</x:v>
      </x:c>
      <x:c r="D176" s="4" t="str">
        <x:v>Relative Distance</x:v>
      </x:c>
      <x:c r="E176" s="4" t="str">
        <x:v>—</x:v>
      </x:c>
      <x:c r="F176" s="4" t="str">
        <x:v>test</x:v>
      </x:c>
      <x:c r="G176" s="4" t="str">
        <x:v>video_only</x:v>
      </x:c>
      <x:c r="H176" s="4" t="str">
        <x:v>K选1</x:v>
      </x:c>
      <x:c r="I176" s="4" t="str">
        <x:v>4</x:v>
      </x:c>
      <x:c r="J176" s="4" t="str">
        <x:v>Accuracy</x:v>
      </x:c>
      <x:c r="K176" s="4" t="n">
        <x:v>710</x:v>
      </x:c>
      <x:c r="L176" s="4" t="str">
        <x:v>无</x:v>
      </x:c>
      <x:c r="M176" s="4" t="str">
        <x:v>unresolved</x:v>
      </x:c>
      <x:c r="N176" s="4" t="str">
        <x:v>unresolved</x:v>
      </x:c>
      <x:c r="O176" s="4" t="str">
        <x:v>unresolved</x:v>
      </x:c>
      <x:c r="P176" s="4" t="str">
        <x:v>unresolved</x:v>
      </x:c>
      <x:c r="Q176" s="4" t="str">
        <x:v>unresolved</x:v>
      </x:c>
      <x:c r="R176" s="4" t="str">
        <x:v>G28</x:v>
      </x:c>
      <x:c r="S176" s="4" t="str">
        <x:v>P18</x:v>
      </x:c>
      <x:c r="T176" s="4" t="n">
        <x:v>1</x:v>
      </x:c>
      <x:c r="U176" s="4" t="str">
        <x:v>唯一P候选</x:v>
      </x:c>
      <x:c r="V176" s="4" t="str">
        <x:v>P18</x:v>
      </x:c>
      <x:c r="W176" s="4" t="str">
        <x:v>B1</x:v>
      </x:c>
      <x:c r="X176" s="4" t="str">
        <x:v>—</x:v>
      </x:c>
      <x:c r="Y176" s="4" t="str">
        <x:v>R9</x:v>
      </x:c>
      <x:c r="Z176" s="4" t="str">
        <x:v>R9</x:v>
      </x:c>
      <x:c r="AA176" s="4" t="str">
        <x:v>原条件原样继承，未独立验证split/样本量/预算有效性；执行先检查可用模态、query_time和官方评分协议</x:v>
      </x:c>
      <x:c r="AB176" s="4" t="str">
        <x:v>比较各物体与电视的最近距离，可用相对尺度/局部几何，不要求先恢复绝对米制地图。</x:v>
      </x:c>
    </x:row>
    <x:row r="177" ht="52" customHeight="1">
      <x:c r="A177" s="4" t="str">
        <x:v>src.vsi_bench.room_size.c01</x:v>
      </x:c>
      <x:c r="B177" s="4" t="str">
        <x:v>src.vsi_bench.room_size</x:v>
      </x:c>
      <x:c r="C177" s="4" t="str">
        <x:v>VSI-Bench</x:v>
      </x:c>
      <x:c r="D177" s="4" t="str">
        <x:v>Room Size</x:v>
      </x:c>
      <x:c r="E177" s="4" t="str">
        <x:v>—</x:v>
      </x:c>
      <x:c r="F177" s="4" t="str">
        <x:v>test</x:v>
      </x:c>
      <x:c r="G177" s="4" t="str">
        <x:v>video_only</x:v>
      </x:c>
      <x:c r="H177" s="4" t="str">
        <x:v>数值输出</x:v>
      </x:c>
      <x:c r="I177" s="4" t="str">
        <x:v>0</x:v>
      </x:c>
      <x:c r="J177" s="4" t="str">
        <x:v>MRA</x:v>
      </x:c>
      <x:c r="K177" s="4" t="n">
        <x:v>288</x:v>
      </x:c>
      <x:c r="L177" s="4" t="str">
        <x:v>无</x:v>
      </x:c>
      <x:c r="M177" s="4" t="str">
        <x:v>unresolved</x:v>
      </x:c>
      <x:c r="N177" s="4" t="str">
        <x:v>unresolved</x:v>
      </x:c>
      <x:c r="O177" s="4" t="str">
        <x:v>unresolved</x:v>
      </x:c>
      <x:c r="P177" s="4" t="str">
        <x:v>unresolved</x:v>
      </x:c>
      <x:c r="Q177" s="4" t="str">
        <x:v>unresolved</x:v>
      </x:c>
      <x:c r="R177" s="4" t="str">
        <x:v>G29</x:v>
      </x:c>
      <x:c r="S177" s="4" t="str">
        <x:v>P18</x:v>
      </x:c>
      <x:c r="T177" s="4" t="n">
        <x:v>1</x:v>
      </x:c>
      <x:c r="U177" s="4" t="str">
        <x:v>唯一P候选</x:v>
      </x:c>
      <x:c r="V177" s="4" t="str">
        <x:v>P18</x:v>
      </x:c>
      <x:c r="W177" s="4" t="str">
        <x:v>B4</x:v>
      </x:c>
      <x:c r="X177" s="4" t="str">
        <x:v>—</x:v>
      </x:c>
      <x:c r="Y177" s="4" t="str">
        <x:v>R9</x:v>
      </x:c>
      <x:c r="Z177" s="4" t="str">
        <x:v>R9</x:v>
      </x:c>
      <x:c r="AA177" s="4" t="str">
        <x:v>原条件原样继承，未独立验证split/样本量/预算有效性；执行先检查可用模态、query_time和官方评分协议</x:v>
      </x:c>
      <x:c r="AB177" s="4" t="str">
        <x:v>房间/合并空间面积需要尺度与边界估计，遮挡和单目尺度不确定性是实际限制；禁止把标注用网格作为模型输入。</x:v>
      </x:c>
    </x:row>
    <x:row r="178" ht="52" customHeight="1">
      <x:c r="A178" s="4" t="str">
        <x:v>src.vsi_bench.route_plan.c01</x:v>
      </x:c>
      <x:c r="B178" s="4" t="str">
        <x:v>src.vsi_bench.route_plan</x:v>
      </x:c>
      <x:c r="C178" s="4" t="str">
        <x:v>VSI-Bench</x:v>
      </x:c>
      <x:c r="D178" s="4" t="str">
        <x:v>Route Plan</x:v>
      </x:c>
      <x:c r="E178" s="4" t="str">
        <x:v>—</x:v>
      </x:c>
      <x:c r="F178" s="4" t="str">
        <x:v>test</x:v>
      </x:c>
      <x:c r="G178" s="4" t="str">
        <x:v>video_only</x:v>
      </x:c>
      <x:c r="H178" s="4" t="str">
        <x:v>K选1</x:v>
      </x:c>
      <x:c r="I178" s="4" t="str">
        <x:v>3/4</x:v>
      </x:c>
      <x:c r="J178" s="4" t="str">
        <x:v>Accuracy</x:v>
      </x:c>
      <x:c r="K178" s="4" t="n">
        <x:v>194</x:v>
      </x:c>
      <x:c r="L178" s="4" t="str">
        <x:v>无</x:v>
      </x:c>
      <x:c r="M178" s="4" t="str">
        <x:v>unresolved</x:v>
      </x:c>
      <x:c r="N178" s="4" t="str">
        <x:v>unresolved</x:v>
      </x:c>
      <x:c r="O178" s="4" t="str">
        <x:v>unresolved</x:v>
      </x:c>
      <x:c r="P178" s="4" t="str">
        <x:v>unresolved</x:v>
      </x:c>
      <x:c r="Q178" s="4" t="str">
        <x:v>unresolved</x:v>
      </x:c>
      <x:c r="R178" s="4" t="str">
        <x:v>G30</x:v>
      </x:c>
      <x:c r="S178" s="4" t="str">
        <x:v>P19</x:v>
      </x:c>
      <x:c r="T178" s="4" t="n">
        <x:v>1</x:v>
      </x:c>
      <x:c r="U178" s="4" t="str">
        <x:v>唯一P候选</x:v>
      </x:c>
      <x:c r="V178" s="4" t="str">
        <x:v>P19</x:v>
      </x:c>
      <x:c r="W178" s="4" t="str">
        <x:v>B1</x:v>
      </x:c>
      <x:c r="X178" s="4" t="str">
        <x:v>—</x:v>
      </x:c>
      <x:c r="Y178" s="4" t="str">
        <x:v>R9</x:v>
      </x:c>
      <x:c r="Z178" s="4" t="str">
        <x:v>R9</x:v>
      </x:c>
      <x:c r="AA178" s="4" t="str">
        <x:v>原条件原样继承，未独立验证split/样本量/预算有效性；执行先检查可用模态、query_time和官方评分协议</x:v>
      </x:c>
      <x:c r="AB178" s="4" t="str">
        <x:v>在给定短路线动作序列中补转向，重点是拓扑邻接与朝向状态；不能把所有此类题都说成求全局最短路径。</x:v>
      </x:c>
    </x:row>
  </x:sheetData>
  <x:pageMargins left="0.7" right="0.7" top="0.75" bottom="0.75" header="0.3" footer="0.3"/>
  <x:tableParts count="1">
    <x:tablePart xmlns:r="http://schemas.openxmlformats.org/officeDocument/2006/relationships" r:id="Rafbdf891033945db"/>
  </x:tableParts>
</x:worksheet>
</file>

<file path=xl/worksheets/sheet8.xml><?xml version="1.0" encoding="utf-8"?>
<x:worksheet xmlns:x="http://schemas.openxmlformats.org/spreadsheetml/2006/main">
  <x:sheetFormatPr defaultRowHeight="15"/>
  <x:cols>
    <x:col min="1" max="1" width="26" hidden="0" customWidth="1"/>
    <x:col min="2" max="2" width="40" hidden="0" customWidth="1"/>
    <x:col min="3" max="3" width="38" hidden="0" customWidth="1"/>
    <x:col min="4" max="4" width="40" hidden="0" customWidth="1"/>
    <x:col min="5" max="5" width="40" hidden="0" customWidth="1"/>
    <x:col min="6" max="6" width="40" hidden="0" customWidth="1"/>
  </x:cols>
  <x:sheetData>
    <x:row r="1" ht="42" customHeight="1">
      <x:c r="A1" s="10" t="str">
        <x:v>Benchmark/模型</x:v>
      </x:c>
      <x:c r="B1" s="10" t="str">
        <x:v>原论文/官方模型卡URL</x:v>
      </x:c>
      <x:c r="C1" s="10" t="str">
        <x:v>核对位置</x:v>
      </x:c>
      <x:c r="D1" s="10" t="str">
        <x:v>官方数据或项目URL</x:v>
      </x:c>
      <x:c r="E1" s="10" t="str">
        <x:v>读取内容</x:v>
      </x:c>
      <x:c r="F1" s="10" t="str">
        <x:v>版本与限制</x:v>
      </x:c>
    </x:row>
    <x:row r="2" ht="46" customHeight="1">
      <x:c r="A2" s="4" t="str">
        <x:v>EgoLifeQA</x:v>
      </x:c>
      <x:c r="B2" s="4" t="str">
        <x:v>https://arxiv.org/html/2503.03803v2</x:v>
      </x:c>
      <x:c r="C2" s="4" t="str">
        <x:v>§3.5；Fig.5；§4.2</x:v>
      </x:c>
      <x:c r="D2" s="4" t="str">
        <x:v>https://github.com/evolvinglmms-lab/egolife</x:v>
      </x:c>
      <x:c r="E2" s="4" t="str">
        <x:v>论文任务定义/模板与代表例题；按需核对官方标注预览</x:v>
      </x:c>
      <x:c r="F2" s="4" t="str">
        <x:v>原始标签不改；以论文、数据版本和eval脚本分别冻结；未逐题观看全部视频</x:v>
      </x:c>
    </x:row>
    <x:row r="3" ht="46" customHeight="1">
      <x:c r="A3" s="4" t="str">
        <x:v>EgoSchema</x:v>
      </x:c>
      <x:c r="B3" s="4" t="str">
        <x:v>https://arxiv.org/pdf/2308.09126</x:v>
      </x:c>
      <x:c r="C3" s="4" t="str">
        <x:v>§1；Fig.1；§3.2 temporal certificate</x:v>
      </x:c>
      <x:c r="D3" s="4" t="str">
        <x:v>https://egoschema.github.io/</x:v>
      </x:c>
      <x:c r="E3" s="4" t="str">
        <x:v>论文任务定义/模板与代表例题；按需核对官方标注预览</x:v>
      </x:c>
      <x:c r="F3" s="4" t="str">
        <x:v>原始标签不改；以论文、数据版本和eval脚本分别冻结；未逐题观看全部视频</x:v>
      </x:c>
    </x:row>
    <x:row r="4" ht="46" customHeight="1">
      <x:c r="A4" s="4" t="str">
        <x:v>LongVideoBench</x:v>
      </x:c>
      <x:c r="B4" s="4" t="str">
        <x:v>https://arxiv.org/pdf/2407.15754</x:v>
      </x:c>
      <x:c r="C4" s="4" t="str">
        <x:v>§3；Fig.2；Table 2</x:v>
      </x:c>
      <x:c r="D4" s="4" t="str">
        <x:v>https://huggingface.co/datasets/longvideobench/LongVideoBench</x:v>
      </x:c>
      <x:c r="E4" s="4" t="str">
        <x:v>论文任务定义/模板与代表例题；按需核对官方标注预览</x:v>
      </x:c>
      <x:c r="F4" s="4" t="str">
        <x:v>原始标签不改；以论文、数据版本和eval脚本分别冻结；未逐题观看全部视频</x:v>
      </x:c>
    </x:row>
    <x:row r="5" ht="46" customHeight="1">
      <x:c r="A5" s="4" t="str">
        <x:v>LVBench</x:v>
      </x:c>
      <x:c r="B5" s="4" t="str">
        <x:v>https://arxiv.org/html/2406.08035v3</x:v>
      </x:c>
      <x:c r="C5" s="4" t="str">
        <x:v>§3.2；Fig.1；Appendix B 多标签组合</x:v>
      </x:c>
      <x:c r="D5" s="4" t="str">
        <x:v>https://github.com/zai-org/LVBench</x:v>
      </x:c>
      <x:c r="E5" s="4" t="str">
        <x:v>论文任务定义/模板与代表例题；按需核对官方标注预览</x:v>
      </x:c>
      <x:c r="F5" s="4" t="str">
        <x:v>原始标签不改；以论文、数据版本和eval脚本分别冻结；未逐题观看全部视频</x:v>
      </x:c>
    </x:row>
    <x:row r="6" ht="46" customHeight="1">
      <x:c r="A6" s="4" t="str">
        <x:v>MLVU</x:v>
      </x:c>
      <x:c r="B6" s="4" t="str">
        <x:v>https://arxiv.org/html/2406.04264v3</x:v>
      </x:c>
      <x:c r="C6" s="4" t="str">
        <x:v>§3.2；Fig.2；Appendix F</x:v>
      </x:c>
      <x:c r="D6" s="4" t="str">
        <x:v>https://github.com/JUNJIE99/MLVU</x:v>
      </x:c>
      <x:c r="E6" s="4" t="str">
        <x:v>论文任务定义/模板与代表例题；按需核对官方标注预览</x:v>
      </x:c>
      <x:c r="F6" s="4" t="str">
        <x:v>原始标签不改；以论文、数据版本和eval脚本分别冻结；未逐题观看全部视频</x:v>
      </x:c>
    </x:row>
    <x:row r="7" ht="46" customHeight="1">
      <x:c r="A7" s="4" t="str">
        <x:v>MVBench</x:v>
      </x:c>
      <x:c r="B7" s="4" t="str">
        <x:v>https://arxiv.org/pdf/2311.17005</x:v>
      </x:c>
      <x:c r="C7" s="4" t="str">
        <x:v>§3.1；Table 1</x:v>
      </x:c>
      <x:c r="D7" s="4" t="str">
        <x:v>https://huggingface.co/datasets/OpenGVLab/MVBench</x:v>
      </x:c>
      <x:c r="E7" s="4" t="str">
        <x:v>论文任务定义/模板与代表例题；按需核对官方标注预览</x:v>
      </x:c>
      <x:c r="F7" s="4" t="str">
        <x:v>原始标签不改；以论文、数据版本和eval脚本分别冻结；未逐题观看全部视频</x:v>
      </x:c>
    </x:row>
    <x:row r="8" ht="46" customHeight="1">
      <x:c r="A8" s="4" t="str">
        <x:v>TOMATO</x:v>
      </x:c>
      <x:c r="B8" s="4" t="str">
        <x:v>https://arxiv.org/html/2410.23266v2</x:v>
      </x:c>
      <x:c r="C8" s="4" t="str">
        <x:v>§4.1；Table 2；Appendix E</x:v>
      </x:c>
      <x:c r="D8" s="4" t="str">
        <x:v>https://github.com/yale-nlp/TOMATO</x:v>
      </x:c>
      <x:c r="E8" s="4" t="str">
        <x:v>论文任务定义/模板与代表例题；按需核对官方标注预览</x:v>
      </x:c>
      <x:c r="F8" s="4" t="str">
        <x:v>原始标签不改；以论文、数据版本和eval脚本分别冻结；未逐题观看全部视频</x:v>
      </x:c>
    </x:row>
    <x:row r="9" ht="46" customHeight="1">
      <x:c r="A9" s="4" t="str">
        <x:v>TVBench</x:v>
      </x:c>
      <x:c r="B9" s="4" t="str">
        <x:v>https://arxiv.org/html/2410.07752v2</x:v>
      </x:c>
      <x:c r="C9" s="4" t="str">
        <x:v>§5；Appendix A.2 / Table 5</x:v>
      </x:c>
      <x:c r="D9" s="4" t="str">
        <x:v>https://huggingface.co/datasets/FunAILab/TVBench</x:v>
      </x:c>
      <x:c r="E9" s="4" t="str">
        <x:v>论文任务定义/模板与代表例题；按需核对官方标注预览</x:v>
      </x:c>
      <x:c r="F9" s="4" t="str">
        <x:v>原始标签不改；以论文、数据版本和eval脚本分别冻结；未逐题观看全部视频</x:v>
      </x:c>
    </x:row>
    <x:row r="10" ht="46" customHeight="1">
      <x:c r="A10" s="4" t="str">
        <x:v>Video-MME</x:v>
      </x:c>
      <x:c r="B10" s="4" t="str">
        <x:v>https://arxiv.org/html/2405.21075v3</x:v>
      </x:c>
      <x:c r="C10" s="4" t="str">
        <x:v>任务分类；官方仓库链接的 annotation viewer</x:v>
      </x:c>
      <x:c r="D10" s="4" t="str">
        <x:v>https://huggingface.co/datasets/lmms-eval/Video-MME</x:v>
      </x:c>
      <x:c r="E10" s="4" t="str">
        <x:v>论文任务定义/模板与代表例题；按需核对官方标注预览</x:v>
      </x:c>
      <x:c r="F10" s="4" t="str">
        <x:v>原始标签不改；以论文、数据版本和eval脚本分别冻结；未逐题观看全部视频</x:v>
      </x:c>
    </x:row>
    <x:row r="11" ht="46" customHeight="1">
      <x:c r="A11" s="4" t="str">
        <x:v>Video-MME-v2</x:v>
      </x:c>
      <x:c r="B11" s="4" t="str">
        <x:v>https://arxiv.org/pdf/2604.05015</x:v>
      </x:c>
      <x:c r="C11" s="4" t="str">
        <x:v>§3；Appendix Table 4；官方 test 数据预览</x:v>
      </x:c>
      <x:c r="D11" s="4" t="str">
        <x:v>https://huggingface.co/datasets/MME-Benchmarks/Video-MME-v2</x:v>
      </x:c>
      <x:c r="E11" s="4" t="str">
        <x:v>论文任务定义/模板与代表例题；按需核对官方标注预览</x:v>
      </x:c>
      <x:c r="F11" s="4" t="str">
        <x:v>原始标签不改；以论文、数据版本和eval脚本分别冻结；未逐题观看全部视频</x:v>
      </x:c>
    </x:row>
    <x:row r="12" ht="46" customHeight="1">
      <x:c r="A12" s="4" t="str">
        <x:v>VSI-Bench</x:v>
      </x:c>
      <x:c r="B12" s="4" t="str">
        <x:v>https://arxiv.org/pdf/2412.14171</x:v>
      </x:c>
      <x:c r="C12" s="4" t="str">
        <x:v>§3；Appendix Table 4 任务模板</x:v>
      </x:c>
      <x:c r="D12" s="4" t="str">
        <x:v>https://huggingface.co/datasets/nyu-visionx/VSI-Bench</x:v>
      </x:c>
      <x:c r="E12" s="4" t="str">
        <x:v>论文任务定义/模板与代表例题；按需核对官方标注预览</x:v>
      </x:c>
      <x:c r="F12" s="4" t="str">
        <x:v>原始标签不改；以论文、数据版本和eval脚本分别冻结；未逐题观看全部视频</x:v>
      </x:c>
    </x:row>
    <x:row r="13" ht="46" customHeight="1">
      <x:c r="A13" s="4" t="str">
        <x:v>Qwen3-VL-8B-Instruct</x:v>
      </x:c>
      <x:c r="B13" s="4" t="str">
        <x:v>https://huggingface.co/Qwen/Qwen3-VL-8B-Instruct</x:v>
      </x:c>
      <x:c r="C13" s="4" t="str">
        <x:v>官方模型卡/输入示例</x:v>
      </x:c>
      <x:c r="D13" s="4" t="str">
        <x:v>https://github.com/QwenLM/Qwen3-VL</x:v>
      </x:c>
      <x:c r="E13" s="4" t="str">
        <x:v>图像、视频、文本输入；本方案的单模型视觉语言骨干</x:v>
      </x:c>
      <x:c r="F13" s="4" t="str">
        <x:v>必要音频需另行声明适配器；不能以ASR替代所有非语音线索；纯VL设置不假装有音频</x:v>
      </x:c>
    </x:row>
  </x:sheetData>
  <x:pageMargins left="0.7" right="0.7" top="0.75" bottom="0.75" header="0.3" footer="0.3"/>
  <x:tableParts count="1">
    <x:tablePart xmlns:r="http://schemas.openxmlformats.org/officeDocument/2006/relationships" r:id="R10473669f95a487a"/>
  </x:tableParts>
</x:worksheet>
</file>

<file path=xl/worksheets/sheet9.xml><?xml version="1.0" encoding="utf-8"?>
<x:worksheet xmlns:x="http://schemas.openxmlformats.org/spreadsheetml/2006/main">
  <x:sheetFormatPr defaultRowHeight="15"/>
  <x:cols>
    <x:col min="1" max="1" width="26" hidden="0" customWidth="1"/>
    <x:col min="2" max="2" width="40" hidden="0" customWidth="1"/>
    <x:col min="3" max="3" width="40" hidden="0" customWidth="1"/>
  </x:cols>
  <x:sheetData>
    <x:row r="1" ht="42" customHeight="1">
      <x:c r="A1" s="10" t="str">
        <x:v>议题</x:v>
      </x:c>
      <x:c r="B1" s="10" t="str">
        <x:v>建议</x:v>
      </x:c>
      <x:c r="C1" s="10" t="str">
        <x:v>必须保留的限制/解释</x:v>
      </x:c>
    </x:row>
    <x:row r="2" ht="46" customHeight="1">
      <x:c r="A2" s="4" t="str">
        <x:v>定位</x:v>
      </x:c>
      <x:c r="B2" s="4" t="str">
        <x:v>v0.4候选；9类主pipeline，不是9类官方能力标签</x:v>
      </x:c>
      <x:c r="C2" s="4" t="str">
        <x:v>9是工程上的初始分解，未经消融证明最优；并未运行Qwen或测量性能。</x:v>
      </x:c>
    </x:row>
    <x:row r="3" ht="46" customHeight="1">
      <x:c r="A3" s="4" t="str">
        <x:v>来源范围</x:v>
      </x:c>
      <x:c r="B3" s="4" t="str">
        <x:v>11个benchmark；127原生入口；159展开映射；177条件行</x:v>
      </x:c>
      <x:c r="C3" s="4" t="str">
        <x:v>127是工作簿原生入口数，不是数据集题目总数；各任务分布不能当题目分布。</x:v>
      </x:c>
    </x:row>
    <x:row r="4" ht="46" customHeight="1">
      <x:c r="A4" s="4" t="str">
        <x:v>核对尺度</x:v>
      </x:c>
      <x:c r="B4" s="4" t="str">
        <x:v>原论文定义/模板、代表例题及部分官方标注</x:v>
      </x:c>
      <x:c r="C4" s="4" t="str">
        <x:v>没有逐一观看所有视频；题面不能决定的执行负担保留条件/待审标签。</x:v>
      </x:c>
    </x:row>
    <x:row r="5" ht="52" customHeight="1">
      <x:c r="A5" s="4" t="str">
        <x:v>默认R字段</x:v>
      </x:c>
      <x:c r="B5" s="4" t="str">
        <x:v>方便检索/初始化，不等于benchmark标签硬绑定</x:v>
      </x:c>
      <x:c r="C5" s="4" t="str">
        <x:v>最终sample执行契约仍需依据范围、计数单位、证据负担和可用模态确定；可离线人工标注，不必另训练路由器。</x:v>
      </x:c>
    </x:row>
    <x:row r="6" ht="52" customHeight="1">
      <x:c r="A6" s="4" t="str">
        <x:v>每样本主路由</x:v>
      </x:c>
      <x:c r="B6" s="4" t="str">
        <x:v>一个主R + 可复用子程序</x:v>
      </x:c>
      <x:c r="C6" s="4" t="str">
        <x:v>不要把条件候选列表解释为所有pipeline全跑；复杂问题可组合子步骤，但报告主状态与成本。</x:v>
      </x:c>
    </x:row>
    <x:row r="7" ht="52" customHeight="1">
      <x:c r="A7" s="4" t="str">
        <x:v>共享检索</x:v>
      </x:c>
      <x:c r="B7" s="4" t="str">
        <x:v>时间锚点、字幕索引、粗到细视频观察、裁剪</x:v>
      </x:c>
      <x:c r="C7" s="4" t="str">
        <x:v>P09不再独立主类，但所有长视频主模板均可调用；不要只检索命中就完成全局/否定问题。</x:v>
      </x:c>
    </x:row>
    <x:row r="8" ht="46" customHeight="1">
      <x:c r="A8" s="4" t="str">
        <x:v>共享历史封装</x:v>
      </x:c>
      <x:c r="B8" s="4" t="str">
        <x:v>query_time、人物视角、历史范围、实体ID</x:v>
      </x:c>
      <x:c r="C8" s="4" t="str">
        <x:v>历史是允许访问的数据范围；不能读取查询发生之后或不可见/不可听的历史。</x:v>
      </x:c>
    </x:row>
    <x:row r="9" ht="46" customHeight="1">
      <x:c r="A9" s="4" t="str">
        <x:v>共享音画对齐</x:v>
      </x:c>
      <x:c r="B9" s="4" t="str">
        <x:v>允许的音频/转写、时间对齐、角色绑定</x:v>
      </x:c>
      <x:c r="C9" s="4" t="str">
        <x:v>P13拆为共享组件；对真正音频依赖任务仍是必需能力，不是删掉音频需求。</x:v>
      </x:c>
    </x:row>
    <x:row r="10" ht="46" customHeight="1">
      <x:c r="A10" s="4" t="str">
        <x:v>纯Qwen-VL设置</x:v>
      </x:c>
      <x:c r="B10" s="4" t="str">
        <x:v>仅图像/视频/文字</x:v>
      </x:c>
      <x:c r="C10" s="4" t="str">
        <x:v>外部ASR/音乐分析/检测器若使用需单列；只用转写无法覆盖音乐情绪、音色等。</x:v>
      </x:c>
    </x:row>
    <x:row r="11" ht="46" customHeight="1">
      <x:c r="A11" s="4" t="str">
        <x:v>TOMATO例外</x:v>
      </x:c>
      <x:c r="B11" s="4" t="str">
        <x:v>Visual Cues按视觉证据回答</x:v>
      </x:c>
      <x:c r="C11" s="4" t="str">
        <x:v>论文明确without audio；不能见instrument/play/sound就接入音频答案。</x:v>
      </x:c>
    </x:row>
    <x:row r="12" ht="46" customHeight="1">
      <x:c r="A12" s="4" t="str">
        <x:v>Video-MME输入协议</x:v>
      </x:c>
      <x:c r="B12" s="4" t="str">
        <x:v>with/without subtitles等条件分开</x:v>
      </x:c>
      <x:c r="C12" s="4" t="str">
        <x:v>官方仓库规定字幕与采样帧对应；不得偷偷用全字幕索引提升视觉-only成绩。</x:v>
      </x:c>
    </x:row>
    <x:row r="13" ht="52" customHeight="1">
      <x:c r="A13" s="4" t="str">
        <x:v>避免标签/答案泄漏</x:v>
      </x:c>
      <x:c r="B13" s="4" t="str">
        <x:v>可用输入和公开元数据与GT分开</x:v>
      </x:c>
      <x:c r="C13" s="4" t="str">
        <x:v>GT答案、clue duration、GT轨迹/分割、GT mesh/深度/相机位姿不能作为默认推理输入。</x:v>
      </x:c>
    </x:row>
    <x:row r="14" ht="52" customHeight="1">
      <x:c r="A14" s="4" t="str">
        <x:v>分组问题</x:v>
      </x:c>
      <x:c r="B14" s="4" t="str">
        <x:v>保留video_id/group_id/各题原生标签和组结构</x:v>
      </x:c>
      <x:c r="C14" s="4" t="str">
        <x:v>同组问题可能不同叶子类型；不向后题输入前题GT答案。用冻结版本官方评分脚本，不自行假设组分公式。</x:v>
      </x:c>
    </x:row>
    <x:row r="15" ht="46" customHeight="1">
      <x:c r="A15" s="4" t="str">
        <x:v>输出层</x:v>
      </x:c>
      <x:c r="B15" s="4" t="str">
        <x:v>MCQ、生成、数值由原生协议决定</x:v>
      </x:c>
      <x:c r="C15" s="4" t="str">
        <x:v>动态读取选项，不强制每题都是4或8选1；保留题目本来的单位、格式、评估器。</x:v>
      </x:c>
    </x:row>
    <x:row r="16" ht="46" customHeight="1">
      <x:c r="A16" s="4" t="str">
        <x:v>首次/末次/否定</x:v>
      </x:c>
      <x:c r="B16" s="4" t="str">
        <x:v>明确证据覆盖和停止条件</x:v>
      </x:c>
      <x:c r="C16" s="4" t="str">
        <x:v>找到正例可证明存在；检索失败不能证明不存在；first/last需排除相关范围遗漏。</x:v>
      </x:c>
    </x:row>
    <x:row r="17" ht="52" customHeight="1">
      <x:c r="A17" s="4" t="str">
        <x:v>计数单位</x:v>
      </x:c>
      <x:c r="B17" s="4" t="str">
        <x:v>event occurrence / unique entity / category</x:v>
      </x:c>
      <x:c r="C17" s="4" t="str">
        <x:v>同一鸟飞出3次：事件3、实体1；同一桌子多视角重复出现只算1；单位先于pipeline选择。</x:v>
      </x:c>
    </x:row>
    <x:row r="18" ht="52" customHeight="1">
      <x:c r="A18" s="4" t="str">
        <x:v>空间最小状态</x:v>
      </x:c>
      <x:c r="B18" s="4" t="str">
        <x:v>局部关系图/拓扑/必要尺度</x:v>
      </x:c>
      <x:c r="C18" s="4" t="str">
        <x:v>不为每个左右问题强上SLAM；单目尺度和遮挡导致的不确定性是pipeline难点，不宣称必然解决。</x:v>
      </x:c>
    </x:row>
    <x:row r="19" ht="46" customHeight="1">
      <x:c r="A19" s="4" t="str">
        <x:v>同预算比较</x:v>
      </x:c>
      <x:c r="B19" s="4" t="str">
        <x:v>统一视觉token、文本token、模型调用、采样权限</x:v>
      </x:c>
      <x:c r="C19" s="4" t="str">
        <x:v>计入预处理/检索/工具和失败重试成本；不要拿低预算20类与高预算9类比较。</x:v>
      </x:c>
    </x:row>
    <x:row r="20" ht="46" customHeight="1">
      <x:c r="A20" s="4" t="str">
        <x:v>验证切分</x:v>
      </x:c>
      <x:c r="B20" s="4" t="str">
        <x:v>按视频/组划分开发与测试</x:v>
      </x:c>
      <x:c r="C20" s="4" t="str">
        <x:v>同视频和同Group-QA不要跨调参与测试；固定提示、路由规则、预算后再测。</x:v>
      </x:c>
    </x:row>
    <x:row r="21" ht="52" customHeight="1">
      <x:c r="A21" s="4" t="str">
        <x:v>建议消融</x:v>
      </x:c>
      <x:c r="B21" s="4" t="str">
        <x:v>统一baseline；9模板；20原方案；边界近邻错配</x:v>
      </x:c>
      <x:c r="C21" s="4" t="str">
        <x:v>重点检验R1↔R3/R4、R2↔R3、R5↔R6、R6↔R7、R8↔R9。无收益的独立分支降为参数。</x:v>
      </x:c>
    </x:row>
    <x:row r="22" ht="46" customHeight="1">
      <x:c r="A22" s="4" t="str">
        <x:v>报告指标</x:v>
      </x:c>
      <x:c r="B22" s="4" t="str">
        <x:v>官方总分 + 原生题型分数 + 执行子型分数 + 成本</x:v>
      </x:c>
      <x:c r="C22" s="4" t="str">
        <x:v>分型错误率、证据遗漏、重复计数、身份漂移、推断错误、输出格式失败分开统计。</x:v>
      </x:c>
    </x:row>
    <x:row r="23" ht="46" customHeight="1">
      <x:c r="A23" s="4" t="str">
        <x:v>待核对示例</x:v>
      </x:c>
      <x:c r="B23" s="4" t="str">
        <x:v>TVBench Action Count中的sets/distinct口径</x:v>
      </x:c>
      <x:c r="C23" s="4" t="str">
        <x:v>论文模板不足以完全消歧，保留R3/R4条件候选；本版不声称原P08错误。</x:v>
      </x:c>
    </x:row>
  </x:sheetData>
  <x:pageMargins left="0.7" right="0.7" top="0.75" bottom="0.75" header="0.3" footer="0.3"/>
  <x:tableParts count="1">
    <x:tablePart xmlns:r="http://schemas.openxmlformats.org/officeDocument/2006/relationships" r:id="Re5419d47e7bc4c97"/>
  </x:tableParts>
</x:worksheet>
</file>

<file path=xl/worksheets/sheet10.xml><?xml version="1.0" encoding="utf-8"?>
<x:worksheet xmlns:x="http://schemas.openxmlformats.org/spreadsheetml/2006/main">
  <x:sheetFormatPr defaultRowHeight="15"/>
  <x:cols>
    <x:col min="1" max="1" width="35" hidden="0" customWidth="1"/>
    <x:col min="2" max="2" width="40" hidden="0" customWidth="1"/>
    <x:col min="3" max="3" width="40" hidden="0" customWidth="1"/>
  </x:cols>
  <x:sheetData>
    <x:row r="1" ht="42" customHeight="1">
      <x:c r="A1" s="10" t="str">
        <x:v>字段</x:v>
      </x:c>
      <x:c r="B1" s="10" t="str">
        <x:v>建议类型/取值</x:v>
      </x:c>
      <x:c r="C1" s="10" t="str">
        <x:v>用途与规则</x:v>
      </x:c>
    </x:row>
    <x:row r="2" ht="46" customHeight="1">
      <x:c r="A2" s="4" t="str">
        <x:v>sample_id / video_id / group_id</x:v>
      </x:c>
      <x:c r="B2" s="4" t="str">
        <x:v>字符串 / 可空group_id</x:v>
      </x:c>
      <x:c r="C2" s="4" t="str">
        <x:v>保持原题、视频和分组身份，不因为重分类改官方分组。</x:v>
      </x:c>
    </x:row>
    <x:row r="3" ht="46" customHeight="1">
      <x:c r="A3" s="4" t="str">
        <x:v>native_labels</x:v>
      </x:c>
      <x:c r="B3" s="4" t="str">
        <x:v>字符串列表</x:v>
      </x:c>
      <x:c r="C3" s="4" t="str">
        <x:v>原生标签可多选（如LVBench）；保留来源，不将其等同执行类。</x:v>
      </x:c>
    </x:row>
    <x:row r="4" ht="46" customHeight="1">
      <x:c r="A4" s="4" t="str">
        <x:v>primary_pipeline</x:v>
      </x:c>
      <x:c r="B4" s="4" t="str">
        <x:v>R1–R9单值</x:v>
      </x:c>
      <x:c r="C4" s="4" t="str">
        <x:v>主证据状态/控制流；可离线人工标注，自动路由需单独测误差。</x:v>
      </x:c>
    </x:row>
    <x:row r="5" ht="46" customHeight="1">
      <x:c r="A5" s="4" t="str">
        <x:v>execution_subtype</x:v>
      </x:c>
      <x:c r="B5" s="4" t="str">
        <x:v>例如count_occurrences / count_unique / read_text</x:v>
      </x:c>
      <x:c r="C5" s="4" t="str">
        <x:v>区分同一个原生标签中的不同解题机制。</x:v>
      </x:c>
    </x:row>
    <x:row r="6" ht="46" customHeight="1">
      <x:c r="A6" s="4" t="str">
        <x:v>scope</x:v>
      </x:c>
      <x:c r="B6" s="4" t="str">
        <x:v>video_span / scene / full_video / history_until_query</x:v>
      </x:c>
      <x:c r="C6" s="4" t="str">
        <x:v>时间范围先固定；检索范围与答案所需覆盖范围分别记录。</x:v>
      </x:c>
    </x:row>
    <x:row r="7" ht="46" customHeight="1">
      <x:c r="A7" s="4" t="str">
        <x:v>available_modalities</x:v>
      </x:c>
      <x:c r="B7" s="4" t="str">
        <x:v>video / image / permitted_subtitle / audio</x:v>
      </x:c>
      <x:c r="C7" s="4" t="str">
        <x:v>只列实际允许且可访问的模态；外部工具不可隐形加入。</x:v>
      </x:c>
    </x:row>
    <x:row r="8" ht="46" customHeight="1">
      <x:c r="A8" s="4" t="str">
        <x:v>query_time / observation_cutoff</x:v>
      </x:c>
      <x:c r="B8" s="4" t="str">
        <x:v>时间戳或null</x:v>
      </x:c>
      <x:c r="C8" s="4" t="str">
        <x:v>EgoLife历史访问、预测/反事实题的边界，防止未来泄漏。</x:v>
      </x:c>
    </x:row>
    <x:row r="9" ht="46" customHeight="1">
      <x:c r="A9" s="4" t="str">
        <x:v>count_unit</x:v>
      </x:c>
      <x:c r="B9" s="4" t="str">
        <x:v>occurrence / unique_entity / category / null</x:v>
      </x:c>
      <x:c r="C9" s="4" t="str">
        <x:v>计数题必填，尤其Basic Counting、Moving Count、Action Count。</x:v>
      </x:c>
    </x:row>
    <x:row r="10" ht="46" customHeight="1">
      <x:c r="A10" s="4" t="str">
        <x:v>reference_frame</x:v>
      </x:c>
      <x:c r="B10" s="4" t="str">
        <x:v>screen / camera / object_relative / world / null</x:v>
      </x:c>
      <x:c r="C10" s="4" t="str">
        <x:v>空间题和方向题必填；不能混用画面左右和对象相对方位。</x:v>
      </x:c>
    </x:row>
    <x:row r="11" ht="52" customHeight="1">
      <x:c r="A11" s="4" t="str">
        <x:v>evidence_state</x:v>
      </x:c>
      <x:c r="B11" s="4" t="str">
        <x:v>bounded / tracks / events / inventory / summaries / relations / hypotheses / symbols / spatial</x:v>
      </x:c>
      <x:c r="C11" s="4" t="str">
        <x:v>与主R一致，可引用其他模块产生的事实。</x:v>
      </x:c>
    </x:row>
    <x:row r="12" ht="46" customHeight="1">
      <x:c r="A12" s="4" t="str">
        <x:v>evidence_records</x:v>
      </x:c>
      <x:c r="B12" s="4" t="str">
        <x:v>时间戳、frame_id、crop、对象ID、观测/推断标记</x:v>
      </x:c>
      <x:c r="C12" s="4" t="str">
        <x:v>保留可回看证据，避免跨轮只存自由文本摘要丢失运动/身份。</x:v>
      </x:c>
    </x:row>
    <x:row r="13" ht="46" customHeight="1">
      <x:c r="A13" s="4" t="str">
        <x:v>coverage / stop_rule</x:v>
      </x:c>
      <x:c r="B13" s="4" t="str">
        <x:v>已检查区间、缺口、停止判据</x:v>
      </x:c>
      <x:c r="C13" s="4" t="str">
        <x:v>否定/全计数/last需可审计覆盖；预算不足不是自动证据充分。</x:v>
      </x:c>
    </x:row>
    <x:row r="14" ht="46" customHeight="1">
      <x:c r="A14" s="4" t="str">
        <x:v>budget</x:v>
      </x:c>
      <x:c r="B14" s="4" t="str">
        <x:v>max_frames / visual_tokens / text_tokens / calls</x:v>
      </x:c>
      <x:c r="C14" s="4" t="str">
        <x:v>每次调用记录实际消耗；密集/分层是计划参数，不是独立主类。</x:v>
      </x:c>
    </x:row>
    <x:row r="15" ht="46" customHeight="1">
      <x:c r="A15" s="4" t="str">
        <x:v>output_protocol / evaluator</x:v>
      </x:c>
      <x:c r="B15" s="4" t="str">
        <x:v>原始选项、单位、MCQ/文本/数值、脚本版本</x:v>
      </x:c>
      <x:c r="C15" s="4" t="str">
        <x:v>统一执行层不改benchmark原生计分。</x:v>
      </x:c>
    </x:row>
  </x:sheetData>
  <x:pageMargins left="0.7" right="0.7" top="0.75" bottom="0.75" header="0.3" footer="0.3"/>
  <x:tableParts count="1">
    <x:tablePart xmlns:r="http://schemas.openxmlformats.org/officeDocument/2006/relationships" r:id="Rfc20300235e54444"/>
  </x:tableParts>
</x:worksheet>
</file>